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https://d.docs.live.net/28D42A6B8D779FE7/Documents/"/>
    </mc:Choice>
  </mc:AlternateContent>
  <xr:revisionPtr revIDLastSave="405" documentId="8_{6547997E-16A0-4A23-80F8-003316337557}" xr6:coauthVersionLast="47" xr6:coauthVersionMax="47" xr10:uidLastSave="{AC831516-441C-48B4-958C-6C3E41ADB474}"/>
  <bookViews>
    <workbookView xWindow="-108" yWindow="-108" windowWidth="23256" windowHeight="12456" firstSheet="1" activeTab="7" xr2:uid="{5FC6005D-626B-42EB-8B3A-E901B5BCE1C4}"/>
  </bookViews>
  <sheets>
    <sheet name="Pivot Table" sheetId="3" r:id="rId1"/>
    <sheet name="DashBoard" sheetId="4" r:id="rId2"/>
    <sheet name="Business Statement" sheetId="7" r:id="rId3"/>
    <sheet name="Slicers" sheetId="5" r:id="rId4"/>
    <sheet name="KPI's" sheetId="9" r:id="rId5"/>
    <sheet name="Insights &amp; Findings" sheetId="6" r:id="rId6"/>
    <sheet name="Cleaned Data" sheetId="2" r:id="rId7"/>
    <sheet name="Raw Data" sheetId="1" r:id="rId8"/>
  </sheets>
  <definedNames>
    <definedName name="_xlnm._FilterDatabase" localSheetId="6" hidden="1">'Cleaned Data'!$A$1:$U$251</definedName>
    <definedName name="Slicer_Category">#N/A</definedName>
    <definedName name="Slicer_Customer_Location">#N/A</definedName>
    <definedName name="Slicer_Month">#N/A</definedName>
    <definedName name="Slicer_Order_Status_Flag">#N/A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5" i="2" l="1"/>
  <c r="U6" i="2"/>
  <c r="U9" i="2"/>
  <c r="U10" i="2"/>
  <c r="U11" i="2"/>
  <c r="U12" i="2"/>
  <c r="U13" i="2"/>
  <c r="U14" i="2"/>
  <c r="U17" i="2"/>
  <c r="U18" i="2"/>
  <c r="U21" i="2"/>
  <c r="U22" i="2"/>
  <c r="U23" i="2"/>
  <c r="U24" i="2"/>
  <c r="U25" i="2"/>
  <c r="U26" i="2"/>
  <c r="U29" i="2"/>
  <c r="U30" i="2"/>
  <c r="U33" i="2"/>
  <c r="U34" i="2"/>
  <c r="U35" i="2"/>
  <c r="U36" i="2"/>
  <c r="U37" i="2"/>
  <c r="U38" i="2"/>
  <c r="U41" i="2"/>
  <c r="U42" i="2"/>
  <c r="U45" i="2"/>
  <c r="U46" i="2"/>
  <c r="U47" i="2"/>
  <c r="U48" i="2"/>
  <c r="U49" i="2"/>
  <c r="U50" i="2"/>
  <c r="U53" i="2"/>
  <c r="U54" i="2"/>
  <c r="U57" i="2"/>
  <c r="U58" i="2"/>
  <c r="U59" i="2"/>
  <c r="U60" i="2"/>
  <c r="U61" i="2"/>
  <c r="U62" i="2"/>
  <c r="U65" i="2"/>
  <c r="U66" i="2"/>
  <c r="U69" i="2"/>
  <c r="U70" i="2"/>
  <c r="U71" i="2"/>
  <c r="U72" i="2"/>
  <c r="U73" i="2"/>
  <c r="U74" i="2"/>
  <c r="U77" i="2"/>
  <c r="U78" i="2"/>
  <c r="U81" i="2"/>
  <c r="U82" i="2"/>
  <c r="U83" i="2"/>
  <c r="U84" i="2"/>
  <c r="U85" i="2"/>
  <c r="U86" i="2"/>
  <c r="U89" i="2"/>
  <c r="U90" i="2"/>
  <c r="U93" i="2"/>
  <c r="U94" i="2"/>
  <c r="U95" i="2"/>
  <c r="U96" i="2"/>
  <c r="U97" i="2"/>
  <c r="U98" i="2"/>
  <c r="U101" i="2"/>
  <c r="U102" i="2"/>
  <c r="U105" i="2"/>
  <c r="U106" i="2"/>
  <c r="U107" i="2"/>
  <c r="U108" i="2"/>
  <c r="U109" i="2"/>
  <c r="U110" i="2"/>
  <c r="U113" i="2"/>
  <c r="U114" i="2"/>
  <c r="U117" i="2"/>
  <c r="U118" i="2"/>
  <c r="U119" i="2"/>
  <c r="U120" i="2"/>
  <c r="U121" i="2"/>
  <c r="U122" i="2"/>
  <c r="U125" i="2"/>
  <c r="U126" i="2"/>
  <c r="U129" i="2"/>
  <c r="U130" i="2"/>
  <c r="U131" i="2"/>
  <c r="U132" i="2"/>
  <c r="U133" i="2"/>
  <c r="U134" i="2"/>
  <c r="U137" i="2"/>
  <c r="U138" i="2"/>
  <c r="U141" i="2"/>
  <c r="U142" i="2"/>
  <c r="U143" i="2"/>
  <c r="U144" i="2"/>
  <c r="U145" i="2"/>
  <c r="U146" i="2"/>
  <c r="U149" i="2"/>
  <c r="U150" i="2"/>
  <c r="U153" i="2"/>
  <c r="U154" i="2"/>
  <c r="U155" i="2"/>
  <c r="U156" i="2"/>
  <c r="U157" i="2"/>
  <c r="U158" i="2"/>
  <c r="U161" i="2"/>
  <c r="U162" i="2"/>
  <c r="U165" i="2"/>
  <c r="U166" i="2"/>
  <c r="U167" i="2"/>
  <c r="U168" i="2"/>
  <c r="U169" i="2"/>
  <c r="U170" i="2"/>
  <c r="U173" i="2"/>
  <c r="U174" i="2"/>
  <c r="U177" i="2"/>
  <c r="U178" i="2"/>
  <c r="U179" i="2"/>
  <c r="U180" i="2"/>
  <c r="U181" i="2"/>
  <c r="U182" i="2"/>
  <c r="U185" i="2"/>
  <c r="U186" i="2"/>
  <c r="U189" i="2"/>
  <c r="U190" i="2"/>
  <c r="U191" i="2"/>
  <c r="U192" i="2"/>
  <c r="U193" i="2"/>
  <c r="U194" i="2"/>
  <c r="U197" i="2"/>
  <c r="U198" i="2"/>
  <c r="U201" i="2"/>
  <c r="U202" i="2"/>
  <c r="U203" i="2"/>
  <c r="U204" i="2"/>
  <c r="U205" i="2"/>
  <c r="U206" i="2"/>
  <c r="U209" i="2"/>
  <c r="U210" i="2"/>
  <c r="U213" i="2"/>
  <c r="U214" i="2"/>
  <c r="U215" i="2"/>
  <c r="U216" i="2"/>
  <c r="U217" i="2"/>
  <c r="U218" i="2"/>
  <c r="U221" i="2"/>
  <c r="U222" i="2"/>
  <c r="U225" i="2"/>
  <c r="U226" i="2"/>
  <c r="U227" i="2"/>
  <c r="U228" i="2"/>
  <c r="U229" i="2"/>
  <c r="U230" i="2"/>
  <c r="U233" i="2"/>
  <c r="U234" i="2"/>
  <c r="U237" i="2"/>
  <c r="U238" i="2"/>
  <c r="U239" i="2"/>
  <c r="U240" i="2"/>
  <c r="U241" i="2"/>
  <c r="U242" i="2"/>
  <c r="U245" i="2"/>
  <c r="U246" i="2"/>
  <c r="U249" i="2"/>
  <c r="U250" i="2"/>
  <c r="U251" i="2"/>
  <c r="U2" i="2"/>
  <c r="Q3" i="2"/>
  <c r="U3" i="2" s="1"/>
  <c r="Q4" i="2"/>
  <c r="U4" i="2" s="1"/>
  <c r="Q5" i="2"/>
  <c r="Q6" i="2"/>
  <c r="Q7" i="2"/>
  <c r="U7" i="2" s="1"/>
  <c r="Q8" i="2"/>
  <c r="U8" i="2" s="1"/>
  <c r="Q9" i="2"/>
  <c r="Q10" i="2"/>
  <c r="Q11" i="2"/>
  <c r="Q12" i="2"/>
  <c r="Q13" i="2"/>
  <c r="Q14" i="2"/>
  <c r="Q15" i="2"/>
  <c r="U15" i="2" s="1"/>
  <c r="Q16" i="2"/>
  <c r="U16" i="2" s="1"/>
  <c r="Q17" i="2"/>
  <c r="Q18" i="2"/>
  <c r="Q19" i="2"/>
  <c r="U19" i="2" s="1"/>
  <c r="Q20" i="2"/>
  <c r="U20" i="2" s="1"/>
  <c r="Q21" i="2"/>
  <c r="Q22" i="2"/>
  <c r="Q23" i="2"/>
  <c r="Q24" i="2"/>
  <c r="Q25" i="2"/>
  <c r="Q26" i="2"/>
  <c r="Q27" i="2"/>
  <c r="U27" i="2" s="1"/>
  <c r="Q28" i="2"/>
  <c r="U28" i="2" s="1"/>
  <c r="Q29" i="2"/>
  <c r="Q30" i="2"/>
  <c r="Q31" i="2"/>
  <c r="U31" i="2" s="1"/>
  <c r="Q32" i="2"/>
  <c r="U32" i="2" s="1"/>
  <c r="Q33" i="2"/>
  <c r="Q34" i="2"/>
  <c r="Q35" i="2"/>
  <c r="Q36" i="2"/>
  <c r="Q37" i="2"/>
  <c r="Q38" i="2"/>
  <c r="Q39" i="2"/>
  <c r="U39" i="2" s="1"/>
  <c r="Q40" i="2"/>
  <c r="U40" i="2" s="1"/>
  <c r="Q41" i="2"/>
  <c r="Q42" i="2"/>
  <c r="Q43" i="2"/>
  <c r="U43" i="2" s="1"/>
  <c r="Q44" i="2"/>
  <c r="U44" i="2" s="1"/>
  <c r="Q45" i="2"/>
  <c r="Q46" i="2"/>
  <c r="Q47" i="2"/>
  <c r="Q48" i="2"/>
  <c r="Q49" i="2"/>
  <c r="Q50" i="2"/>
  <c r="Q51" i="2"/>
  <c r="U51" i="2" s="1"/>
  <c r="Q52" i="2"/>
  <c r="U52" i="2" s="1"/>
  <c r="Q53" i="2"/>
  <c r="Q54" i="2"/>
  <c r="Q55" i="2"/>
  <c r="U55" i="2" s="1"/>
  <c r="Q56" i="2"/>
  <c r="U56" i="2" s="1"/>
  <c r="Q57" i="2"/>
  <c r="Q58" i="2"/>
  <c r="Q59" i="2"/>
  <c r="Q60" i="2"/>
  <c r="Q61" i="2"/>
  <c r="Q62" i="2"/>
  <c r="Q63" i="2"/>
  <c r="U63" i="2" s="1"/>
  <c r="Q64" i="2"/>
  <c r="U64" i="2" s="1"/>
  <c r="Q65" i="2"/>
  <c r="Q66" i="2"/>
  <c r="Q67" i="2"/>
  <c r="U67" i="2" s="1"/>
  <c r="Q68" i="2"/>
  <c r="U68" i="2" s="1"/>
  <c r="Q69" i="2"/>
  <c r="Q70" i="2"/>
  <c r="Q71" i="2"/>
  <c r="Q72" i="2"/>
  <c r="Q73" i="2"/>
  <c r="Q74" i="2"/>
  <c r="Q75" i="2"/>
  <c r="U75" i="2" s="1"/>
  <c r="Q76" i="2"/>
  <c r="U76" i="2" s="1"/>
  <c r="Q77" i="2"/>
  <c r="Q78" i="2"/>
  <c r="Q79" i="2"/>
  <c r="U79" i="2" s="1"/>
  <c r="Q80" i="2"/>
  <c r="U80" i="2" s="1"/>
  <c r="Q81" i="2"/>
  <c r="Q82" i="2"/>
  <c r="Q83" i="2"/>
  <c r="Q84" i="2"/>
  <c r="Q85" i="2"/>
  <c r="Q86" i="2"/>
  <c r="Q87" i="2"/>
  <c r="U87" i="2" s="1"/>
  <c r="Q88" i="2"/>
  <c r="U88" i="2" s="1"/>
  <c r="Q89" i="2"/>
  <c r="Q90" i="2"/>
  <c r="Q91" i="2"/>
  <c r="U91" i="2" s="1"/>
  <c r="Q92" i="2"/>
  <c r="U92" i="2" s="1"/>
  <c r="Q93" i="2"/>
  <c r="Q94" i="2"/>
  <c r="Q95" i="2"/>
  <c r="Q96" i="2"/>
  <c r="Q97" i="2"/>
  <c r="Q98" i="2"/>
  <c r="Q99" i="2"/>
  <c r="U99" i="2" s="1"/>
  <c r="Q100" i="2"/>
  <c r="U100" i="2" s="1"/>
  <c r="Q101" i="2"/>
  <c r="Q102" i="2"/>
  <c r="Q103" i="2"/>
  <c r="U103" i="2" s="1"/>
  <c r="Q104" i="2"/>
  <c r="U104" i="2" s="1"/>
  <c r="Q105" i="2"/>
  <c r="Q106" i="2"/>
  <c r="Q107" i="2"/>
  <c r="Q108" i="2"/>
  <c r="Q109" i="2"/>
  <c r="Q110" i="2"/>
  <c r="Q111" i="2"/>
  <c r="U111" i="2" s="1"/>
  <c r="Q112" i="2"/>
  <c r="U112" i="2" s="1"/>
  <c r="Q113" i="2"/>
  <c r="Q114" i="2"/>
  <c r="Q115" i="2"/>
  <c r="U115" i="2" s="1"/>
  <c r="Q116" i="2"/>
  <c r="U116" i="2" s="1"/>
  <c r="Q117" i="2"/>
  <c r="Q118" i="2"/>
  <c r="Q119" i="2"/>
  <c r="Q120" i="2"/>
  <c r="Q121" i="2"/>
  <c r="Q122" i="2"/>
  <c r="Q123" i="2"/>
  <c r="U123" i="2" s="1"/>
  <c r="Q124" i="2"/>
  <c r="U124" i="2" s="1"/>
  <c r="Q125" i="2"/>
  <c r="Q126" i="2"/>
  <c r="Q127" i="2"/>
  <c r="U127" i="2" s="1"/>
  <c r="Q128" i="2"/>
  <c r="U128" i="2" s="1"/>
  <c r="Q129" i="2"/>
  <c r="Q130" i="2"/>
  <c r="Q131" i="2"/>
  <c r="Q132" i="2"/>
  <c r="Q133" i="2"/>
  <c r="Q134" i="2"/>
  <c r="Q135" i="2"/>
  <c r="U135" i="2" s="1"/>
  <c r="Q136" i="2"/>
  <c r="U136" i="2" s="1"/>
  <c r="Q137" i="2"/>
  <c r="Q138" i="2"/>
  <c r="Q139" i="2"/>
  <c r="U139" i="2" s="1"/>
  <c r="Q140" i="2"/>
  <c r="U140" i="2" s="1"/>
  <c r="Q141" i="2"/>
  <c r="Q142" i="2"/>
  <c r="Q143" i="2"/>
  <c r="Q144" i="2"/>
  <c r="Q145" i="2"/>
  <c r="Q146" i="2"/>
  <c r="Q147" i="2"/>
  <c r="U147" i="2" s="1"/>
  <c r="Q148" i="2"/>
  <c r="U148" i="2" s="1"/>
  <c r="Q149" i="2"/>
  <c r="Q150" i="2"/>
  <c r="Q151" i="2"/>
  <c r="U151" i="2" s="1"/>
  <c r="Q152" i="2"/>
  <c r="U152" i="2" s="1"/>
  <c r="Q153" i="2"/>
  <c r="Q154" i="2"/>
  <c r="Q155" i="2"/>
  <c r="Q156" i="2"/>
  <c r="Q157" i="2"/>
  <c r="Q158" i="2"/>
  <c r="Q159" i="2"/>
  <c r="U159" i="2" s="1"/>
  <c r="Q160" i="2"/>
  <c r="U160" i="2" s="1"/>
  <c r="Q161" i="2"/>
  <c r="Q162" i="2"/>
  <c r="Q163" i="2"/>
  <c r="U163" i="2" s="1"/>
  <c r="Q164" i="2"/>
  <c r="U164" i="2" s="1"/>
  <c r="Q165" i="2"/>
  <c r="Q166" i="2"/>
  <c r="Q167" i="2"/>
  <c r="Q168" i="2"/>
  <c r="Q169" i="2"/>
  <c r="Q170" i="2"/>
  <c r="Q171" i="2"/>
  <c r="U171" i="2" s="1"/>
  <c r="Q172" i="2"/>
  <c r="U172" i="2" s="1"/>
  <c r="Q173" i="2"/>
  <c r="Q174" i="2"/>
  <c r="Q175" i="2"/>
  <c r="U175" i="2" s="1"/>
  <c r="Q176" i="2"/>
  <c r="U176" i="2" s="1"/>
  <c r="Q177" i="2"/>
  <c r="Q178" i="2"/>
  <c r="Q179" i="2"/>
  <c r="Q180" i="2"/>
  <c r="Q181" i="2"/>
  <c r="Q182" i="2"/>
  <c r="Q183" i="2"/>
  <c r="U183" i="2" s="1"/>
  <c r="Q184" i="2"/>
  <c r="U184" i="2" s="1"/>
  <c r="Q185" i="2"/>
  <c r="Q186" i="2"/>
  <c r="Q187" i="2"/>
  <c r="U187" i="2" s="1"/>
  <c r="Q188" i="2"/>
  <c r="U188" i="2" s="1"/>
  <c r="Q189" i="2"/>
  <c r="Q190" i="2"/>
  <c r="Q191" i="2"/>
  <c r="Q192" i="2"/>
  <c r="Q193" i="2"/>
  <c r="Q194" i="2"/>
  <c r="Q195" i="2"/>
  <c r="U195" i="2" s="1"/>
  <c r="Q196" i="2"/>
  <c r="U196" i="2" s="1"/>
  <c r="Q197" i="2"/>
  <c r="Q198" i="2"/>
  <c r="Q199" i="2"/>
  <c r="U199" i="2" s="1"/>
  <c r="Q200" i="2"/>
  <c r="U200" i="2" s="1"/>
  <c r="Q201" i="2"/>
  <c r="Q202" i="2"/>
  <c r="Q203" i="2"/>
  <c r="Q204" i="2"/>
  <c r="Q205" i="2"/>
  <c r="Q206" i="2"/>
  <c r="Q207" i="2"/>
  <c r="U207" i="2" s="1"/>
  <c r="Q208" i="2"/>
  <c r="U208" i="2" s="1"/>
  <c r="Q209" i="2"/>
  <c r="Q210" i="2"/>
  <c r="Q211" i="2"/>
  <c r="U211" i="2" s="1"/>
  <c r="Q212" i="2"/>
  <c r="U212" i="2" s="1"/>
  <c r="Q213" i="2"/>
  <c r="Q214" i="2"/>
  <c r="Q215" i="2"/>
  <c r="Q216" i="2"/>
  <c r="Q217" i="2"/>
  <c r="Q218" i="2"/>
  <c r="Q219" i="2"/>
  <c r="U219" i="2" s="1"/>
  <c r="Q220" i="2"/>
  <c r="U220" i="2" s="1"/>
  <c r="Q221" i="2"/>
  <c r="Q222" i="2"/>
  <c r="Q223" i="2"/>
  <c r="U223" i="2" s="1"/>
  <c r="Q224" i="2"/>
  <c r="U224" i="2" s="1"/>
  <c r="Q225" i="2"/>
  <c r="Q226" i="2"/>
  <c r="Q227" i="2"/>
  <c r="Q228" i="2"/>
  <c r="Q229" i="2"/>
  <c r="Q230" i="2"/>
  <c r="Q231" i="2"/>
  <c r="U231" i="2" s="1"/>
  <c r="Q232" i="2"/>
  <c r="U232" i="2" s="1"/>
  <c r="Q233" i="2"/>
  <c r="Q234" i="2"/>
  <c r="Q235" i="2"/>
  <c r="U235" i="2" s="1"/>
  <c r="Q236" i="2"/>
  <c r="U236" i="2" s="1"/>
  <c r="Q237" i="2"/>
  <c r="Q238" i="2"/>
  <c r="Q239" i="2"/>
  <c r="Q240" i="2"/>
  <c r="Q241" i="2"/>
  <c r="Q242" i="2"/>
  <c r="Q243" i="2"/>
  <c r="U243" i="2" s="1"/>
  <c r="Q244" i="2"/>
  <c r="U244" i="2" s="1"/>
  <c r="Q245" i="2"/>
  <c r="Q246" i="2"/>
  <c r="Q247" i="2"/>
  <c r="U247" i="2" s="1"/>
  <c r="Q248" i="2"/>
  <c r="U248" i="2" s="1"/>
  <c r="Q249" i="2"/>
  <c r="Q250" i="2"/>
  <c r="Q251" i="2"/>
  <c r="Q2"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 i="2"/>
</calcChain>
</file>

<file path=xl/sharedStrings.xml><?xml version="1.0" encoding="utf-8"?>
<sst xmlns="http://schemas.openxmlformats.org/spreadsheetml/2006/main" count="3661" uniqueCount="384">
  <si>
    <t>Order ID</t>
  </si>
  <si>
    <t>Date</t>
  </si>
  <si>
    <t>Product</t>
  </si>
  <si>
    <t>Category</t>
  </si>
  <si>
    <t>Price</t>
  </si>
  <si>
    <t>Quantity</t>
  </si>
  <si>
    <t>Total Sales</t>
  </si>
  <si>
    <t>Customer Name</t>
  </si>
  <si>
    <t>Customer Location</t>
  </si>
  <si>
    <t>Payment Method</t>
  </si>
  <si>
    <t>Status</t>
  </si>
  <si>
    <t>ORD0001</t>
  </si>
  <si>
    <t>Running Shoes</t>
  </si>
  <si>
    <t>Footwear</t>
  </si>
  <si>
    <t>Emma Clark</t>
  </si>
  <si>
    <t>New York</t>
  </si>
  <si>
    <t>Debit Card</t>
  </si>
  <si>
    <t>Cancelled</t>
  </si>
  <si>
    <t>ORD0002</t>
  </si>
  <si>
    <t>Headphones</t>
  </si>
  <si>
    <t>Electronics</t>
  </si>
  <si>
    <t>Emily Johnson</t>
  </si>
  <si>
    <t>San Francisco</t>
  </si>
  <si>
    <t>Pending</t>
  </si>
  <si>
    <t>ORD0003</t>
  </si>
  <si>
    <t>John Doe</t>
  </si>
  <si>
    <t>Denver</t>
  </si>
  <si>
    <t>Amazon Pay</t>
  </si>
  <si>
    <t>ORD0004</t>
  </si>
  <si>
    <t>Olivia Wilson</t>
  </si>
  <si>
    <t>Dallas</t>
  </si>
  <si>
    <t>Credit Card</t>
  </si>
  <si>
    <t>ORD0005</t>
  </si>
  <si>
    <t>Smartwatch</t>
  </si>
  <si>
    <t>ORD0006</t>
  </si>
  <si>
    <t>T-Shirt</t>
  </si>
  <si>
    <t>Clothing</t>
  </si>
  <si>
    <t>ORD0007</t>
  </si>
  <si>
    <t>Houston</t>
  </si>
  <si>
    <t>PayPal</t>
  </si>
  <si>
    <t>Completed</t>
  </si>
  <si>
    <t>ORD0008</t>
  </si>
  <si>
    <t>Smartphone</t>
  </si>
  <si>
    <t>Sophia Miller</t>
  </si>
  <si>
    <t>Miami</t>
  </si>
  <si>
    <t>ORD0009</t>
  </si>
  <si>
    <t>Boston</t>
  </si>
  <si>
    <t>ORD0010</t>
  </si>
  <si>
    <t>ORD0011</t>
  </si>
  <si>
    <t>Book</t>
  </si>
  <si>
    <t>Books</t>
  </si>
  <si>
    <t>David Lee</t>
  </si>
  <si>
    <t>ORD0012</t>
  </si>
  <si>
    <t>Jeans</t>
  </si>
  <si>
    <t>Michael Brown</t>
  </si>
  <si>
    <t>ORD0013</t>
  </si>
  <si>
    <t>Laptop</t>
  </si>
  <si>
    <t>Daniel Harris</t>
  </si>
  <si>
    <t>Gift Card</t>
  </si>
  <si>
    <t>ORD0014</t>
  </si>
  <si>
    <t>Washing Machine</t>
  </si>
  <si>
    <t>Home Appliances</t>
  </si>
  <si>
    <t>ORD0015</t>
  </si>
  <si>
    <t>Seattle</t>
  </si>
  <si>
    <t>ORD0016</t>
  </si>
  <si>
    <t>Refrigerator</t>
  </si>
  <si>
    <t>ORD0017</t>
  </si>
  <si>
    <t>ORD0018</t>
  </si>
  <si>
    <t>Los Angeles</t>
  </si>
  <si>
    <t>ORD0019</t>
  </si>
  <si>
    <t>ORD0020</t>
  </si>
  <si>
    <t>ORD0021</t>
  </si>
  <si>
    <t>Chris White</t>
  </si>
  <si>
    <t>ORD0022</t>
  </si>
  <si>
    <t>ORD0023</t>
  </si>
  <si>
    <t>ORD0024</t>
  </si>
  <si>
    <t>ORD0025</t>
  </si>
  <si>
    <t>ORD0026</t>
  </si>
  <si>
    <t>ORD0027</t>
  </si>
  <si>
    <t>ORD0028</t>
  </si>
  <si>
    <t>Jane Smith</t>
  </si>
  <si>
    <t>Chicago</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</si>
  <si>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</si>
  <si>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</si>
  <si>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</si>
  <si>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</si>
  <si>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</si>
  <si>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</si>
  <si>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</si>
  <si>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</si>
  <si>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</si>
  <si>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</si>
  <si>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</si>
  <si>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</si>
  <si>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</si>
  <si>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</si>
  <si>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</si>
  <si>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</si>
  <si>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</si>
  <si>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</si>
  <si>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</si>
  <si>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</si>
  <si>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</si>
  <si>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</si>
  <si>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</si>
  <si>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</si>
  <si>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</si>
  <si>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</si>
  <si>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</si>
  <si>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</si>
  <si>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</si>
  <si>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</si>
  <si>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</si>
  <si>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</si>
  <si>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</si>
  <si>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</si>
  <si>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</si>
  <si>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</si>
  <si>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</si>
  <si>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</si>
  <si>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</si>
  <si>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</si>
  <si>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</si>
  <si>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</si>
  <si>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</si>
  <si>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</si>
  <si>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</si>
  <si>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</si>
  <si>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</si>
  <si>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</si>
  <si>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</si>
  <si>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</si>
  <si>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</si>
  <si>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</si>
  <si>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</si>
  <si>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</si>
  <si>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</si>
  <si>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</si>
  <si>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</si>
  <si>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</si>
  <si>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</si>
  <si>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</si>
  <si>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</si>
  <si>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</si>
  <si>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</si>
  <si>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</si>
  <si>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</si>
  <si>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</si>
  <si>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</si>
  <si>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</si>
  <si>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</si>
  <si>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</si>
  <si>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</si>
  <si>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</si>
  <si>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</si>
  <si>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</si>
  <si>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</si>
  <si>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</si>
  <si>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</si>
  <si>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</si>
  <si>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</si>
  <si>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</si>
  <si>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</si>
  <si>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</si>
  <si>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</si>
  <si>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</si>
  <si>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</si>
  <si>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</si>
  <si>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</si>
  <si>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</si>
  <si>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</si>
  <si>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</si>
  <si>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</si>
  <si>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</si>
  <si>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</si>
  <si>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</si>
  <si>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</si>
  <si>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</si>
  <si>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</si>
  <si>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</si>
  <si>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</si>
  <si>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</si>
  <si>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</si>
  <si>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</si>
  <si>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</si>
  <si>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</si>
  <si>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</si>
  <si>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</si>
  <si>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</si>
  <si>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</si>
  <si>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</si>
  <si>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</si>
  <si>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</si>
  <si>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</si>
  <si>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</si>
  <si>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</si>
  <si>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</si>
  <si>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</si>
  <si>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</si>
  <si>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</si>
  <si>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</si>
  <si>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</si>
  <si>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</si>
  <si>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</si>
  <si>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</si>
  <si>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</si>
  <si>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</si>
  <si>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</si>
  <si>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</si>
  <si>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</si>
  <si>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</si>
  <si>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</si>
  <si>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</si>
  <si>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</si>
  <si>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</si>
  <si>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</si>
  <si>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</si>
  <si>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</si>
  <si>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</si>
  <si>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</si>
  <si>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</si>
  <si>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</si>
  <si>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</si>
  <si>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</si>
  <si>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</si>
  <si>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</si>
  <si>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</si>
  <si>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</si>
  <si>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</si>
  <si>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</si>
  <si>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</si>
  <si>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</si>
  <si>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</si>
  <si>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</si>
  <si>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</si>
  <si>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</si>
  <si>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</si>
  <si>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</si>
  <si>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</si>
  <si>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</si>
  <si>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</si>
  <si>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</si>
  <si>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</si>
  <si>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</si>
  <si>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</si>
  <si>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</si>
  <si>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</si>
  <si>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</si>
  <si>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</si>
  <si>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</si>
  <si>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</si>
  <si>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</si>
  <si>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</si>
  <si>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</si>
  <si>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</si>
  <si>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</si>
  <si>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</si>
  <si>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</si>
  <si>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</si>
  <si>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</si>
  <si>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</si>
  <si>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</si>
  <si>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</si>
  <si>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</si>
  <si>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</si>
  <si>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</si>
  <si>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</si>
  <si>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</si>
  <si>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</si>
  <si>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</si>
  <si>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</si>
  <si>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</si>
  <si>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</si>
  <si>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</si>
  <si>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</si>
  <si>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</si>
  <si>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</si>
  <si>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</si>
  <si>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</si>
  <si>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</si>
  <si>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</si>
  <si>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</si>
  <si>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</si>
  <si>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</si>
  <si>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</si>
  <si>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</si>
  <si>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</si>
  <si>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</si>
  <si>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</si>
  <si>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</si>
  <si>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</si>
  <si>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</si>
  <si>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</si>
  <si>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</si>
  <si>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</si>
  <si>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</si>
  <si>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</si>
  <si>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</si>
  <si>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</si>
  <si>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</si>
  <si>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</si>
  <si>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</si>
  <si>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</si>
  <si>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</si>
  <si>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Clean Product</t>
  </si>
  <si>
    <t>Clean Category</t>
  </si>
  <si>
    <t>Clean Customer Name</t>
  </si>
  <si>
    <t>Clean Customer Location</t>
  </si>
  <si>
    <t>Clean Payment Method</t>
  </si>
  <si>
    <t>Clean Status</t>
  </si>
  <si>
    <t>Sales Validation</t>
  </si>
  <si>
    <t>Month</t>
  </si>
  <si>
    <t>Day of Week</t>
  </si>
  <si>
    <t>Order Status Flag</t>
  </si>
  <si>
    <t>Grand Total</t>
  </si>
  <si>
    <t>Sum of Total Sales</t>
  </si>
  <si>
    <t>Category-wise total sales</t>
  </si>
  <si>
    <t>Product-wise performance</t>
  </si>
  <si>
    <t>City-wise total sales</t>
  </si>
  <si>
    <t>Count of Order ID</t>
  </si>
  <si>
    <t>Payment method usage</t>
  </si>
  <si>
    <t>Order status distribution</t>
  </si>
  <si>
    <t>Top customers by total spending</t>
  </si>
  <si>
    <t xml:space="preserve">                                                                                              Amazon Sales Analysis — Insights &amp; Findings</t>
  </si>
  <si>
    <t>A</t>
  </si>
  <si>
    <t>B</t>
  </si>
  <si>
    <t>Insight</t>
  </si>
  <si>
    <t>Finding</t>
  </si>
  <si>
    <t>Highest-Selling Product</t>
  </si>
  <si>
    <t>Refrigerator generated the highest total sales.</t>
  </si>
  <si>
    <t>Top-Contributing City</t>
  </si>
  <si>
    <t>Miami contributed the highest total sales.</t>
  </si>
  <si>
    <t>Cancellation vs Completed</t>
  </si>
  <si>
    <t xml:space="preserve"> giving a 7:8 cancellation-to-completion ratio.</t>
  </si>
  <si>
    <t>There were 77 cancelled orders and 88 completed orders,</t>
  </si>
  <si>
    <t>Most Popular Payment Method</t>
  </si>
  <si>
    <t>PayPal had the highest number of orders.</t>
  </si>
  <si>
    <t xml:space="preserve"> Amazon Sales Analytics Dashboard</t>
  </si>
  <si>
    <t>Business Problem Statement</t>
  </si>
  <si>
    <t>An Amazon seller has shared one month of order-level transactional data. The analysis was performed to answer key business questions related to product sales, categories, customer locations, payment methods, and order status.</t>
  </si>
  <si>
    <t>Key Findings</t>
  </si>
  <si>
    <t>1. Which products generate the highest total sales?</t>
  </si>
  <si>
    <r>
      <t xml:space="preserve">Refrigerator generated the highest total sales, with </t>
    </r>
    <r>
      <rPr>
        <b/>
        <sz val="11"/>
        <color theme="1"/>
        <rFont val="Calibri"/>
        <family val="2"/>
        <scheme val="minor"/>
      </rPr>
      <t>₹78,000</t>
    </r>
    <r>
      <rPr>
        <sz val="11"/>
        <color theme="1"/>
        <rFont val="Calibri"/>
        <family val="2"/>
        <scheme val="minor"/>
      </rPr>
      <t xml:space="preserve"> in sales.</t>
    </r>
  </si>
  <si>
    <t>2. Which categories perform best?</t>
  </si>
  <si>
    <r>
      <t xml:space="preserve">Electronics was the best-performing category, generating </t>
    </r>
    <r>
      <rPr>
        <b/>
        <sz val="11"/>
        <color theme="1"/>
        <rFont val="Calibri"/>
        <family val="2"/>
        <scheme val="minor"/>
      </rPr>
      <t>₹129,950</t>
    </r>
    <r>
      <rPr>
        <sz val="11"/>
        <color theme="1"/>
        <rFont val="Calibri"/>
        <family val="2"/>
        <scheme val="minor"/>
      </rPr>
      <t xml:space="preserve"> in total sales.</t>
    </r>
  </si>
  <si>
    <t>3. Which cities show strong or weak performance?</t>
  </si>
  <si>
    <r>
      <t xml:space="preserve">Miami recorded the highest total sales at </t>
    </r>
    <r>
      <rPr>
        <b/>
        <sz val="11"/>
        <color theme="1"/>
        <rFont val="Calibri"/>
        <family val="2"/>
        <scheme val="minor"/>
      </rPr>
      <t>₹31,700</t>
    </r>
    <r>
      <rPr>
        <sz val="11"/>
        <color theme="1"/>
        <rFont val="Calibri"/>
        <family val="2"/>
        <scheme val="minor"/>
      </rPr>
      <t xml:space="preserve">, while San Francisco recorded the lowest total sales at </t>
    </r>
    <r>
      <rPr>
        <b/>
        <sz val="11"/>
        <color theme="1"/>
        <rFont val="Calibri"/>
        <family val="2"/>
        <scheme val="minor"/>
      </rPr>
      <t>₹16,195</t>
    </r>
    <r>
      <rPr>
        <sz val="11"/>
        <color theme="1"/>
        <rFont val="Calibri"/>
        <family val="2"/>
        <scheme val="minor"/>
      </rPr>
      <t xml:space="preserve"> among the analyzed customer locations.</t>
    </r>
  </si>
  <si>
    <t>4. How do payment methods influence orders?</t>
  </si>
  <si>
    <r>
      <t xml:space="preserve">PayPal was the most popular payment method, accounting for </t>
    </r>
    <r>
      <rPr>
        <b/>
        <sz val="11"/>
        <color theme="1"/>
        <rFont val="Calibri"/>
        <family val="2"/>
        <scheme val="minor"/>
      </rPr>
      <t>60 orders</t>
    </r>
    <r>
      <rPr>
        <sz val="11"/>
        <color theme="1"/>
        <rFont val="Calibri"/>
        <family val="2"/>
        <scheme val="minor"/>
      </rPr>
      <t>.</t>
    </r>
  </si>
  <si>
    <t>5. What percentage of orders are delivered, cancelled, or pending?</t>
  </si>
  <si>
    <r>
      <t xml:space="preserve">Out of </t>
    </r>
    <r>
      <rPr>
        <b/>
        <sz val="11"/>
        <color theme="1"/>
        <rFont val="Calibri"/>
        <family val="2"/>
        <scheme val="minor"/>
      </rPr>
      <t>250 orders</t>
    </r>
    <r>
      <rPr>
        <sz val="11"/>
        <color theme="1"/>
        <rFont val="Calibri"/>
        <family val="2"/>
        <scheme val="minor"/>
      </rPr>
      <t>:</t>
    </r>
  </si>
  <si>
    <r>
      <t>Completed:</t>
    </r>
    <r>
      <rPr>
        <sz val="11"/>
        <color theme="1"/>
        <rFont val="Calibri"/>
        <family val="2"/>
        <scheme val="minor"/>
      </rPr>
      <t xml:space="preserve"> 88 orders (</t>
    </r>
    <r>
      <rPr>
        <b/>
        <sz val="11"/>
        <color theme="1"/>
        <rFont val="Calibri"/>
        <family val="2"/>
        <scheme val="minor"/>
      </rPr>
      <t>35.20%</t>
    </r>
    <r>
      <rPr>
        <sz val="11"/>
        <color theme="1"/>
        <rFont val="Calibri"/>
        <family val="2"/>
        <scheme val="minor"/>
      </rPr>
      <t>)</t>
    </r>
  </si>
  <si>
    <r>
      <t>Cancelled:</t>
    </r>
    <r>
      <rPr>
        <sz val="11"/>
        <color theme="1"/>
        <rFont val="Calibri"/>
        <family val="2"/>
        <scheme val="minor"/>
      </rPr>
      <t xml:space="preserve"> 77 orders (</t>
    </r>
    <r>
      <rPr>
        <b/>
        <sz val="11"/>
        <color theme="1"/>
        <rFont val="Calibri"/>
        <family val="2"/>
        <scheme val="minor"/>
      </rPr>
      <t>30.80%</t>
    </r>
    <r>
      <rPr>
        <sz val="11"/>
        <color theme="1"/>
        <rFont val="Calibri"/>
        <family val="2"/>
        <scheme val="minor"/>
      </rPr>
      <t>)</t>
    </r>
  </si>
  <si>
    <r>
      <t>Pending:</t>
    </r>
    <r>
      <rPr>
        <sz val="11"/>
        <color theme="1"/>
        <rFont val="Calibri"/>
        <family val="2"/>
        <scheme val="minor"/>
      </rPr>
      <t xml:space="preserve"> 85 orders (</t>
    </r>
    <r>
      <rPr>
        <b/>
        <sz val="11"/>
        <color theme="1"/>
        <rFont val="Calibri"/>
        <family val="2"/>
        <scheme val="minor"/>
      </rPr>
      <t>34.00%</t>
    </r>
    <r>
      <rPr>
        <sz val="11"/>
        <color theme="1"/>
        <rFont val="Calibri"/>
        <family val="2"/>
        <scheme val="minor"/>
      </rPr>
      <t>)</t>
    </r>
  </si>
  <si>
    <t>Overall Finding</t>
  </si>
  <si>
    <r>
      <t xml:space="preserve">The analysis shows that </t>
    </r>
    <r>
      <rPr>
        <b/>
        <sz val="11"/>
        <color theme="1"/>
        <rFont val="Calibri"/>
        <family val="2"/>
        <scheme val="minor"/>
      </rPr>
      <t>Electronics is the strongest-performing category</t>
    </r>
    <r>
      <rPr>
        <sz val="11"/>
        <color theme="1"/>
        <rFont val="Calibri"/>
        <family val="2"/>
        <scheme val="minor"/>
      </rPr>
      <t xml:space="preserve">, with </t>
    </r>
    <r>
      <rPr>
        <b/>
        <sz val="11"/>
        <color theme="1"/>
        <rFont val="Calibri"/>
        <family val="2"/>
        <scheme val="minor"/>
      </rPr>
      <t>Refrigerator</t>
    </r>
    <r>
      <rPr>
        <sz val="11"/>
        <color theme="1"/>
        <rFont val="Calibri"/>
        <family val="2"/>
        <scheme val="minor"/>
      </rPr>
      <t xml:space="preserve"> being the highest-selling product. </t>
    </r>
  </si>
  <si>
    <t>Miami recorded the highest city-level sales, while PayPal had the highest order usage. Order-status analysis shows that completed, pending, and cancelled orders make up 35.20%, 34.00%, and 30.80% respectively.</t>
  </si>
  <si>
    <t>KPI</t>
  </si>
  <si>
    <t>Value</t>
  </si>
  <si>
    <t>Total Orders</t>
  </si>
  <si>
    <t>Total Quantity Sold</t>
  </si>
  <si>
    <t>Average Order Value (AOV)</t>
  </si>
  <si>
    <t>Completed Orders</t>
  </si>
  <si>
    <t>88 (35.20%)</t>
  </si>
  <si>
    <t>Cancelled Orders</t>
  </si>
  <si>
    <t>77 (30.80%)</t>
  </si>
  <si>
    <t>Information</t>
  </si>
  <si>
    <t>Total revenue generated from all orders.</t>
  </si>
  <si>
    <t>Total number of orders analyzed.</t>
  </si>
  <si>
    <t>Total number of units/products sold.</t>
  </si>
  <si>
    <t>Average sales value generated per order.</t>
  </si>
  <si>
    <t>Percentage of orders successfully completed.</t>
  </si>
  <si>
    <t>Percentage of orders that were cancelled.</t>
  </si>
  <si>
    <r>
      <t>Total Sales:</t>
    </r>
    <r>
      <rPr>
        <sz val="11"/>
        <color theme="1"/>
        <rFont val="Calibri"/>
        <family val="2"/>
        <scheme val="minor"/>
      </rPr>
      <t xml:space="preserve"> Measures the overall revenue generated during the analysis period.</t>
    </r>
  </si>
  <si>
    <r>
      <t>Total Orders:</t>
    </r>
    <r>
      <rPr>
        <sz val="11"/>
        <color theme="1"/>
        <rFont val="Calibri"/>
        <family val="2"/>
        <scheme val="minor"/>
      </rPr>
      <t xml:space="preserve"> Indicates the overall transaction volume handled by the seller.</t>
    </r>
  </si>
  <si>
    <r>
      <t>Total Quantity Sold:</t>
    </r>
    <r>
      <rPr>
        <sz val="11"/>
        <color theme="1"/>
        <rFont val="Calibri"/>
        <family val="2"/>
        <scheme val="minor"/>
      </rPr>
      <t xml:space="preserve"> Represents the number of individual units purchased by customers.</t>
    </r>
  </si>
  <si>
    <r>
      <t>Average Order Value:</t>
    </r>
    <r>
      <rPr>
        <sz val="11"/>
        <color theme="1"/>
        <rFont val="Calibri"/>
        <family val="2"/>
        <scheme val="minor"/>
      </rPr>
      <t xml:space="preserve"> Shows the typical amount spent by a customer in a single order.</t>
    </r>
  </si>
  <si>
    <r>
      <t>Completed Orders:</t>
    </r>
    <r>
      <rPr>
        <sz val="11"/>
        <color theme="1"/>
        <rFont val="Calibri"/>
        <family val="2"/>
        <scheme val="minor"/>
      </rPr>
      <t xml:space="preserve"> Indicates the proportion of orders successfully fulfilled.</t>
    </r>
  </si>
  <si>
    <r>
      <t>Cancelled Orders:</t>
    </r>
    <r>
      <rPr>
        <sz val="11"/>
        <color theme="1"/>
        <rFont val="Calibri"/>
        <family val="2"/>
        <scheme val="minor"/>
      </rPr>
      <t xml:space="preserve"> Highlights the volume of business lost due to order cancellations.</t>
    </r>
  </si>
  <si>
    <r>
      <t>Pending Orders:</t>
    </r>
    <r>
      <rPr>
        <sz val="11"/>
        <color theme="1"/>
        <rFont val="Calibri"/>
        <family val="2"/>
        <scheme val="minor"/>
      </rPr>
      <t xml:space="preserve"> Shows the number of orders still awaiting completion or processing.</t>
    </r>
  </si>
  <si>
    <r>
      <t>Top-Selling Product:</t>
    </r>
    <r>
      <rPr>
        <sz val="11"/>
        <color theme="1"/>
        <rFont val="Calibri"/>
        <family val="2"/>
        <scheme val="minor"/>
      </rPr>
      <t xml:space="preserve"> Identifies the product contributing the most to overall sales.</t>
    </r>
  </si>
  <si>
    <r>
      <t>Best-Performing Category:</t>
    </r>
    <r>
      <rPr>
        <sz val="11"/>
        <color theme="1"/>
        <rFont val="Calibri"/>
        <family val="2"/>
        <scheme val="minor"/>
      </rPr>
      <t xml:space="preserve"> Highlights the product category with the strongest sales contribution.</t>
    </r>
  </si>
  <si>
    <r>
      <t>Top Customer Location:</t>
    </r>
    <r>
      <rPr>
        <sz val="11"/>
        <color theme="1"/>
        <rFont val="Calibri"/>
        <family val="2"/>
        <scheme val="minor"/>
      </rPr>
      <t xml:space="preserve"> Identifies the location generating the highest sales.</t>
    </r>
  </si>
  <si>
    <r>
      <t>Popular Payment Method:</t>
    </r>
    <r>
      <rPr>
        <sz val="11"/>
        <color theme="1"/>
        <rFont val="Calibri"/>
        <family val="2"/>
        <scheme val="minor"/>
      </rPr>
      <t xml:space="preserve"> Shows the payment option preferred by the highest number of customers.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</si>
</sst>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 #,##0;[Red]&quot;₹&quot;\ \-#,##0"/>
    <numFmt numFmtId="8" formatCode="&quot;₹&quot;\ #,##0.00;[Red]&quot;₹&quot;\ \-#,##0.00"/>
  </numFmts>
  <fonts count="26"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rgb="FF000000"/>
      <name val="Times New Roman"/>
      <family val="1"/>
    </font>
    <font>
      <b/>
      <sz val="14"/>
      <color rgb="FF000000"/>
      <name val="Times New Roman"/>
      <family val="1"/>
    </font>
    <font>
      <b/>
      <sz val="20"/>
      <color theme="1"/>
      <name val="Calibri"/>
      <family val="2"/>
      <scheme val="minor"/>
    </font>
    <font>
      <b/>
      <sz val="14"/>
      <color theme="1"/>
      <name val="Calibri"/>
      <family val="2"/>
      <scheme val="minor"/>
    </font>
    <font>
      <sz val="14"/>
      <color theme="1"/>
      <name val="Calibri"/>
      <family val="2"/>
      <scheme val="minor"/>
    </font>
    <font>
      <b/>
      <sz val="16"/>
      <color theme="1"/>
      <name val="Calibri"/>
      <family val="2"/>
      <scheme val="minor"/>
    </font>
    <font>
      <b/>
      <sz val="18"/>
      <color theme="1"/>
      <name val="Calibri"/>
      <family val="2"/>
      <scheme val="minor"/>
    </font>
    <font>
      <b/>
      <sz val="13.5"/>
      <color theme="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0" tint="-0.499984740745262"/>
        <bgColor indexed="64"/>
      </patternFill>
    </fill>
    <fill>
      <patternFill patternType="solid">
        <fgColor theme="9" tint="0.39997558519241921"/>
        <bgColor indexed="64"/>
      </patternFill>
    </fill>
    <fill>
      <patternFill patternType="solid">
        <fgColor theme="0" tint="-0.149998474074526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1">
    <xf numFmtId="0" fontId="0" fillId="0" borderId="0" xfId="0"/>
    <xf numFmtId="14" fontId="0" fillId="0" borderId="0" xfId="0" applyNumberFormat="1"/>
    <xf numFmtId="2" fontId="0" fillId="0" borderId="0" xfId="0" applyNumberFormat="1"/>
    <xf numFmtId="1" fontId="0" fillId="0" borderId="0" xfId="0" applyNumberFormat="1"/>
    <xf numFmtId="0" fontId="16" fillId="0" borderId="0" xfId="0" applyFont="1"/>
    <xf numFmtId="2" fontId="16" fillId="0" borderId="0" xfId="0" applyNumberFormat="1" applyFont="1"/>
    <xf numFmtId="1" fontId="16" fillId="0" borderId="0" xfId="0" applyNumberFormat="1" applyFont="1"/>
    <xf numFmtId="0" fontId="0" fillId="33" borderId="0" xfId="0" applyFill="1"/>
    <xf numFmtId="0" fontId="0" fillId="34" borderId="0" xfId="0" applyFill="1"/>
    <xf numFmtId="0" fontId="18" fillId="34" borderId="0" xfId="0" applyFont="1" applyFill="1"/>
    <xf numFmtId="0" fontId="0" fillId="35" borderId="0" xfId="0" applyFill="1"/>
    <xf numFmtId="0" fontId="23" fillId="34" borderId="0" xfId="0" applyFont="1" applyFill="1"/>
    <xf numFmtId="0" fontId="16" fillId="36" borderId="0" xfId="0" applyFont="1" applyFill="1" applyAlignment="1">
      <alignment horizontal="center" vertical="center" wrapText="1"/>
    </xf>
    <xf numFmtId="0" fontId="16" fillId="36" borderId="0" xfId="0" applyFont="1" applyFill="1" applyAlignment="1">
      <alignment horizontal="right" vertical="center" wrapText="1"/>
    </xf>
    <xf numFmtId="0" fontId="0" fillId="36" borderId="0" xfId="0" applyFill="1"/>
    <xf numFmtId="0" fontId="16" fillId="36" borderId="0" xfId="0" applyFont="1" applyFill="1" applyAlignment="1">
      <alignment vertical="center" wrapText="1"/>
    </xf>
    <xf numFmtId="6" fontId="16" fillId="36" borderId="0" xfId="0" applyNumberFormat="1" applyFont="1" applyFill="1" applyAlignment="1">
      <alignment horizontal="right" vertical="center" wrapText="1"/>
    </xf>
    <xf numFmtId="0" fontId="0" fillId="36" borderId="0" xfId="0" applyFill="1" applyAlignment="1">
      <alignment vertical="center" wrapText="1"/>
    </xf>
    <xf numFmtId="8" fontId="16" fillId="36" borderId="0" xfId="0" applyNumberFormat="1" applyFont="1" applyFill="1" applyAlignment="1">
      <alignment horizontal="right" vertical="center" wrapText="1"/>
    </xf>
    <xf numFmtId="0" fontId="16" fillId="36" borderId="0" xfId="0" applyFont="1" applyFill="1" applyAlignment="1">
      <alignment horizontal="left" vertical="center" indent="1"/>
    </xf>
    <xf numFmtId="0" fontId="24" fillId="36" borderId="0" xfId="0" applyFont="1" applyFill="1" applyAlignment="1">
      <alignment vertical="center"/>
    </xf>
    <xf numFmtId="0" fontId="25" fillId="36" borderId="0" xfId="0" applyFont="1" applyFill="1" applyAlignment="1">
      <alignment vertical="center"/>
    </xf>
    <xf numFmtId="0" fontId="16" fillId="36" borderId="0" xfId="0" applyFont="1" applyFill="1"/>
    <xf numFmtId="0" fontId="0" fillId="36" borderId="0" xfId="0" applyFill="1" applyAlignment="1">
      <alignment horizontal="left" vertical="center" indent="1"/>
    </xf>
    <xf numFmtId="0" fontId="20" fillId="36" borderId="0" xfId="0" applyFont="1" applyFill="1"/>
    <xf numFmtId="0" fontId="21" fillId="36" borderId="0" xfId="0" applyFont="1" applyFill="1" applyAlignment="1">
      <alignment vertical="center" wrapText="1"/>
    </xf>
    <xf numFmtId="0" fontId="22" fillId="36" borderId="0" xfId="0" applyFont="1" applyFill="1" applyAlignment="1">
      <alignment vertical="center" wrapText="1"/>
    </xf>
    <xf numFmtId="0" fontId="22" fillId="36" borderId="0" xfId="0" applyFont="1" applyFill="1"/>
    <xf numFmtId="0" fontId="19" fillId="33" borderId="0" xfId="0" applyFont="1" applyFill="1"/>
    <xf numFmtId="0" fontId="0" fillId="33" borderId="0" xfId="0" applyFill="1" applyAlignment="1">
      <alignment horizontal="left"/>
    </xf>
    <xf numFmtId="2" fontId="0" fillId="33" borderId="0" xfId="0" applyNumberForma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4">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[Amazon_Sales_Analysis.xlsx.xlsx]Pivot Table!PivotTable1</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Total Sales by Category</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2"/>
            </a:fgClr>
            <a:bgClr>
              <a:schemeClr val="lt1"/>
            </a:bgClr>
          </a:pattFill>
          <a:ln>
            <a:noFill/>
          </a:ln>
          <a:effectLst/>
        </c:spPr>
        <c:marker>
          <c:symbol val="none"/>
        </c:marker>
        <c:dLbl>
          <c:idx val="0"/>
          <c:spPr>
            <a:solidFill>
              <a:srgbClr val="ED7D31">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pattFill prst="ltUpDiag">
              <a:fgClr>
                <a:schemeClr val="accent2"/>
              </a:fgClr>
              <a:bgClr>
                <a:schemeClr val="lt1"/>
              </a:bgClr>
            </a:pattFill>
            <a:ln>
              <a:noFill/>
            </a:ln>
            <a:effectLst/>
          </c:spPr>
          <c:invertIfNegative val="0"/>
          <c:cat>
            <c:strRef>
              <c:f>'Pivot Table'!$A$4:$A$9</c:f>
              <c:strCache>
                <c:ptCount val="5"/>
                <c:pt idx="0">
                  <c:v>Books</c:v>
                </c:pt>
                <c:pt idx="1">
                  <c:v>Clothing</c:v>
                </c:pt>
                <c:pt idx="2">
                  <c:v>Electronics</c:v>
                </c:pt>
                <c:pt idx="3">
                  <c:v>Footwear</c:v>
                </c:pt>
                <c:pt idx="4">
                  <c:v>Home Appliances</c:v>
                </c:pt>
              </c:strCache>
            </c:strRef>
          </c:cat>
          <c:val>
            <c:numRef>
              <c:f>'Pivot Table'!$B$4:$B$9</c:f>
              <c:numCache>
                <c:formatCode>0.00</c:formatCode>
                <c:ptCount val="5"/>
                <c:pt idx="0">
                  <c:v>1035</c:v>
                </c:pt>
                <c:pt idx="1">
                  <c:v>3540</c:v>
                </c:pt>
                <c:pt idx="2">
                  <c:v>129950</c:v>
                </c:pt>
                <c:pt idx="3">
                  <c:v>4320</c:v>
                </c:pt>
                <c:pt idx="4">
                  <c:v>105000</c:v>
                </c:pt>
              </c:numCache>
            </c:numRef>
          </c:val>
          <c:extLst>
            <c:ext xmlns:c16="http://schemas.microsoft.com/office/drawing/2014/chart" uri="{C3380CC4-5D6E-409C-BE32-E72D297353CC}">
              <c16:uniqueId val="{00000000-224F-415C-A7A8-7CC1AAA51EA2}"/>
            </c:ext>
          </c:extLst>
        </c:ser>
        <c:dLbls>
          <c:showLegendKey val="0"/>
          <c:showVal val="0"/>
          <c:showCatName val="0"/>
          <c:showSerName val="0"/>
          <c:showPercent val="0"/>
          <c:showBubbleSize val="0"/>
        </c:dLbls>
        <c:gapWidth val="269"/>
        <c:overlap val="-20"/>
        <c:axId val="1107932144"/>
        <c:axId val="720113488"/>
      </c:barChart>
      <c:catAx>
        <c:axId val="1107932144"/>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2">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720113488"/>
        <c:crosses val="autoZero"/>
        <c:auto val="1"/>
        <c:lblAlgn val="ctr"/>
        <c:lblOffset val="100"/>
        <c:noMultiLvlLbl val="0"/>
      </c:catAx>
      <c:valAx>
        <c:axId val="72011348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07932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[Amazon_Sales_Analysis.xlsx.xlsx]Pivot Table!PivotTable5</c:name>
    <c:fmtId val="1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Order Status Breakdown</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lt1"/>
          </a:solidFill>
          <a:ln w="19050">
            <a:solidFill>
              <a:schemeClr val="accent4"/>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lt1"/>
          </a:solidFill>
          <a:ln w="19050">
            <a:solidFill>
              <a:schemeClr val="accent4"/>
            </a:solidFill>
          </a:ln>
          <a:effectLst/>
        </c:spPr>
      </c:pivotFmt>
      <c:pivotFmt>
        <c:idx val="7"/>
        <c:spPr>
          <a:solidFill>
            <a:schemeClr val="lt1"/>
          </a:solidFill>
          <a:ln w="19050">
            <a:solidFill>
              <a:schemeClr val="accent4"/>
            </a:solidFill>
          </a:ln>
          <a:effectLst/>
        </c:spPr>
      </c:pivotFmt>
      <c:pivotFmt>
        <c:idx val="8"/>
        <c:spPr>
          <a:solidFill>
            <a:schemeClr val="lt1"/>
          </a:solidFill>
          <a:ln w="19050">
            <a:solidFill>
              <a:schemeClr val="accent4"/>
            </a:solidFill>
          </a:ln>
          <a:effectLst/>
        </c:spPr>
      </c:pivotFmt>
    </c:pivotFmts>
    <c:plotArea>
      <c:layout/>
      <c:pieChart>
        <c:varyColors val="1"/>
        <c:ser>
          <c:idx val="0"/>
          <c:order val="0"/>
          <c:tx>
            <c:strRef>
              <c:f>'Pivot Table'!$E$19</c:f>
              <c:strCache>
                <c:ptCount val="1"/>
                <c:pt idx="0">
                  <c:v>Total</c:v>
                </c:pt>
              </c:strCache>
            </c:strRef>
          </c:tx>
          <c:spPr>
            <a:solidFill>
              <a:schemeClr val="lt1"/>
            </a:solidFill>
            <a:ln w="19050">
              <a:solidFill>
                <a:schemeClr val="accent4"/>
              </a:solidFill>
            </a:ln>
            <a:effectLst/>
          </c:spPr>
          <c:dPt>
            <c:idx val="0"/>
            <c:bubble3D val="0"/>
            <c:spPr>
              <a:solidFill>
                <a:schemeClr val="lt1"/>
              </a:solidFill>
              <a:ln w="19050">
                <a:solidFill>
                  <a:schemeClr val="accent4"/>
                </a:solidFill>
              </a:ln>
              <a:effectLst/>
            </c:spPr>
            <c:extLst>
              <c:ext xmlns:c16="http://schemas.microsoft.com/office/drawing/2014/chart" uri="{C3380CC4-5D6E-409C-BE32-E72D297353CC}">
                <c16:uniqueId val="{00000001-103C-4B99-A5B9-F53537F60608}"/>
              </c:ext>
            </c:extLst>
          </c:dPt>
          <c:dPt>
            <c:idx val="1"/>
            <c:bubble3D val="0"/>
            <c:spPr>
              <a:solidFill>
                <a:schemeClr val="lt1"/>
              </a:solidFill>
              <a:ln w="19050">
                <a:solidFill>
                  <a:schemeClr val="accent4"/>
                </a:solidFill>
              </a:ln>
              <a:effectLst/>
            </c:spPr>
            <c:extLst>
              <c:ext xmlns:c16="http://schemas.microsoft.com/office/drawing/2014/chart" uri="{C3380CC4-5D6E-409C-BE32-E72D297353CC}">
                <c16:uniqueId val="{00000003-103C-4B99-A5B9-F53537F60608}"/>
              </c:ext>
            </c:extLst>
          </c:dPt>
          <c:dPt>
            <c:idx val="2"/>
            <c:bubble3D val="0"/>
            <c:spPr>
              <a:solidFill>
                <a:schemeClr val="lt1"/>
              </a:solidFill>
              <a:ln w="19050">
                <a:solidFill>
                  <a:schemeClr val="accent4"/>
                </a:solidFill>
              </a:ln>
              <a:effectLst/>
            </c:spPr>
            <c:extLst>
              <c:ext xmlns:c16="http://schemas.microsoft.com/office/drawing/2014/chart" uri="{C3380CC4-5D6E-409C-BE32-E72D297353CC}">
                <c16:uniqueId val="{00000005-103C-4B99-A5B9-F53537F6060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4">
                      <a:lumMod val="60000"/>
                      <a:lumOff val="40000"/>
                    </a:schemeClr>
                  </a:solidFill>
                </a:ln>
                <a:effectLst/>
              </c:spPr>
            </c:leaderLines>
            <c:extLst>
              <c:ext xmlns:c15="http://schemas.microsoft.com/office/drawing/2012/chart" uri="{CE6537A1-D6FC-4f65-9D91-7224C49458BB}"/>
            </c:extLst>
          </c:dLbls>
          <c:cat>
            <c:strRef>
              <c:f>'Pivot Table'!$D$20:$D$23</c:f>
              <c:strCache>
                <c:ptCount val="3"/>
                <c:pt idx="0">
                  <c:v>Cancelled</c:v>
                </c:pt>
                <c:pt idx="1">
                  <c:v>Completed</c:v>
                </c:pt>
                <c:pt idx="2">
                  <c:v>Pending</c:v>
                </c:pt>
              </c:strCache>
            </c:strRef>
          </c:cat>
          <c:val>
            <c:numRef>
              <c:f>'Pivot Table'!$E$20:$E$23</c:f>
              <c:numCache>
                <c:formatCode>General</c:formatCode>
                <c:ptCount val="3"/>
                <c:pt idx="0">
                  <c:v>77</c:v>
                </c:pt>
                <c:pt idx="1">
                  <c:v>88</c:v>
                </c:pt>
                <c:pt idx="2">
                  <c:v>85</c:v>
                </c:pt>
              </c:numCache>
            </c:numRef>
          </c:val>
          <c:extLst>
            <c:ext xmlns:c16="http://schemas.microsoft.com/office/drawing/2014/chart" uri="{C3380CC4-5D6E-409C-BE32-E72D297353CC}">
              <c16:uniqueId val="{00000006-103C-4B99-A5B9-F53537F60608}"/>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solidFill>
    <a:ln w="9525" cap="flat" cmpd="sng" algn="ctr">
      <a:solidFill>
        <a:schemeClr val="accent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[Amazon_Sales_Analysis.xlsx.xlsx]Pivot Table!PivotTable4</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Payment Method Distribution</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lt1"/>
          </a:solidFill>
          <a:ln w="19050">
            <a:solidFill>
              <a:schemeClr val="accent6"/>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lt1"/>
          </a:solidFill>
          <a:ln w="19050">
            <a:solidFill>
              <a:schemeClr val="accent6"/>
            </a:solidFill>
          </a:ln>
          <a:effectLst/>
        </c:spPr>
      </c:pivotFmt>
      <c:pivotFmt>
        <c:idx val="9"/>
        <c:spPr>
          <a:solidFill>
            <a:schemeClr val="lt1"/>
          </a:solidFill>
          <a:ln w="19050">
            <a:solidFill>
              <a:schemeClr val="accent6"/>
            </a:solidFill>
          </a:ln>
          <a:effectLst/>
        </c:spPr>
      </c:pivotFmt>
      <c:pivotFmt>
        <c:idx val="10"/>
        <c:spPr>
          <a:solidFill>
            <a:schemeClr val="lt1"/>
          </a:solidFill>
          <a:ln w="19050">
            <a:solidFill>
              <a:schemeClr val="accent6"/>
            </a:solidFill>
          </a:ln>
          <a:effectLst/>
        </c:spPr>
      </c:pivotFmt>
      <c:pivotFmt>
        <c:idx val="11"/>
        <c:spPr>
          <a:solidFill>
            <a:schemeClr val="lt1"/>
          </a:solidFill>
          <a:ln w="19050">
            <a:solidFill>
              <a:schemeClr val="accent6"/>
            </a:solidFill>
          </a:ln>
          <a:effectLst/>
        </c:spPr>
      </c:pivotFmt>
      <c:pivotFmt>
        <c:idx val="12"/>
        <c:spPr>
          <a:solidFill>
            <a:schemeClr val="lt1"/>
          </a:solidFill>
          <a:ln w="19050">
            <a:solidFill>
              <a:schemeClr val="accent6"/>
            </a:solidFill>
          </a:ln>
          <a:effectLst/>
        </c:spPr>
      </c:pivotFmt>
      <c:pivotFmt>
        <c:idx val="13"/>
        <c:spPr>
          <a:solidFill>
            <a:schemeClr val="lt1"/>
          </a:solidFill>
          <a:ln w="19050">
            <a:solidFill>
              <a:schemeClr val="accent6"/>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lt1"/>
          </a:solidFill>
          <a:ln w="19050">
            <a:solidFill>
              <a:schemeClr val="accent6"/>
            </a:solidFill>
          </a:ln>
          <a:effectLst/>
        </c:spPr>
      </c:pivotFmt>
      <c:pivotFmt>
        <c:idx val="15"/>
        <c:spPr>
          <a:solidFill>
            <a:schemeClr val="lt1"/>
          </a:solidFill>
          <a:ln w="19050">
            <a:solidFill>
              <a:schemeClr val="accent6"/>
            </a:solidFill>
          </a:ln>
          <a:effectLst/>
        </c:spPr>
      </c:pivotFmt>
      <c:pivotFmt>
        <c:idx val="16"/>
        <c:spPr>
          <a:solidFill>
            <a:schemeClr val="lt1"/>
          </a:solidFill>
          <a:ln w="19050">
            <a:solidFill>
              <a:schemeClr val="accent6"/>
            </a:solidFill>
          </a:ln>
          <a:effectLst/>
        </c:spPr>
      </c:pivotFmt>
      <c:pivotFmt>
        <c:idx val="17"/>
        <c:spPr>
          <a:solidFill>
            <a:schemeClr val="lt1"/>
          </a:solidFill>
          <a:ln w="19050">
            <a:solidFill>
              <a:schemeClr val="accent6"/>
            </a:solidFill>
          </a:ln>
          <a:effectLst/>
        </c:spPr>
      </c:pivotFmt>
      <c:pivotFmt>
        <c:idx val="18"/>
        <c:spPr>
          <a:solidFill>
            <a:schemeClr val="lt1"/>
          </a:solidFill>
          <a:ln w="19050">
            <a:solidFill>
              <a:schemeClr val="accent6"/>
            </a:solidFill>
          </a:ln>
          <a:effectLst/>
        </c:spPr>
      </c:pivotFmt>
      <c:pivotFmt>
        <c:idx val="19"/>
        <c:spPr>
          <a:solidFill>
            <a:schemeClr val="lt1"/>
          </a:solidFill>
          <a:ln w="19050">
            <a:solidFill>
              <a:schemeClr val="accent6"/>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lt1"/>
          </a:solidFill>
          <a:ln w="19050">
            <a:solidFill>
              <a:schemeClr val="accent6"/>
            </a:solidFill>
          </a:ln>
          <a:effectLst/>
        </c:spPr>
      </c:pivotFmt>
      <c:pivotFmt>
        <c:idx val="21"/>
        <c:spPr>
          <a:solidFill>
            <a:schemeClr val="lt1"/>
          </a:solidFill>
          <a:ln w="19050">
            <a:solidFill>
              <a:schemeClr val="accent6"/>
            </a:solidFill>
          </a:ln>
          <a:effectLst/>
        </c:spPr>
      </c:pivotFmt>
      <c:pivotFmt>
        <c:idx val="22"/>
        <c:spPr>
          <a:solidFill>
            <a:schemeClr val="lt1"/>
          </a:solidFill>
          <a:ln w="19050">
            <a:solidFill>
              <a:schemeClr val="accent6"/>
            </a:solidFill>
          </a:ln>
          <a:effectLst/>
        </c:spPr>
      </c:pivotFmt>
      <c:pivotFmt>
        <c:idx val="23"/>
        <c:spPr>
          <a:solidFill>
            <a:schemeClr val="lt1"/>
          </a:solidFill>
          <a:ln w="19050">
            <a:solidFill>
              <a:schemeClr val="accent6"/>
            </a:solidFill>
          </a:ln>
          <a:effectLst/>
        </c:spPr>
      </c:pivotFmt>
      <c:pivotFmt>
        <c:idx val="24"/>
        <c:spPr>
          <a:solidFill>
            <a:schemeClr val="lt1"/>
          </a:solidFill>
          <a:ln w="19050">
            <a:solidFill>
              <a:schemeClr val="accent6"/>
            </a:solidFill>
          </a:ln>
          <a:effectLst/>
        </c:spPr>
      </c:pivotFmt>
      <c:pivotFmt>
        <c:idx val="25"/>
        <c:spPr>
          <a:solidFill>
            <a:schemeClr val="lt1"/>
          </a:solidFill>
          <a:ln w="19050">
            <a:solidFill>
              <a:schemeClr val="accent6"/>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6"/>
        <c:spPr>
          <a:solidFill>
            <a:schemeClr val="lt1"/>
          </a:solidFill>
          <a:ln w="19050">
            <a:solidFill>
              <a:schemeClr val="accent6"/>
            </a:solidFill>
          </a:ln>
          <a:effectLst/>
        </c:spPr>
      </c:pivotFmt>
      <c:pivotFmt>
        <c:idx val="27"/>
        <c:spPr>
          <a:solidFill>
            <a:schemeClr val="lt1"/>
          </a:solidFill>
          <a:ln w="19050">
            <a:solidFill>
              <a:schemeClr val="accent6"/>
            </a:solidFill>
          </a:ln>
          <a:effectLst/>
        </c:spPr>
      </c:pivotFmt>
      <c:pivotFmt>
        <c:idx val="28"/>
        <c:spPr>
          <a:solidFill>
            <a:schemeClr val="lt1"/>
          </a:solidFill>
          <a:ln w="19050">
            <a:solidFill>
              <a:schemeClr val="accent6"/>
            </a:solidFill>
          </a:ln>
          <a:effectLst/>
        </c:spPr>
      </c:pivotFmt>
      <c:pivotFmt>
        <c:idx val="29"/>
        <c:spPr>
          <a:solidFill>
            <a:schemeClr val="lt1"/>
          </a:solidFill>
          <a:ln w="19050">
            <a:solidFill>
              <a:schemeClr val="accent6"/>
            </a:solidFill>
          </a:ln>
          <a:effectLst/>
        </c:spPr>
      </c:pivotFmt>
      <c:pivotFmt>
        <c:idx val="30"/>
        <c:spPr>
          <a:solidFill>
            <a:schemeClr val="lt1"/>
          </a:solidFill>
          <a:ln w="19050">
            <a:solidFill>
              <a:schemeClr val="accent6"/>
            </a:solidFill>
          </a:ln>
          <a:effectLst/>
        </c:spPr>
      </c:pivotFmt>
    </c:pivotFmts>
    <c:plotArea>
      <c:layout/>
      <c:pieChart>
        <c:varyColors val="1"/>
        <c:ser>
          <c:idx val="0"/>
          <c:order val="0"/>
          <c:tx>
            <c:strRef>
              <c:f>'Pivot Table'!$B$19</c:f>
              <c:strCache>
                <c:ptCount val="1"/>
                <c:pt idx="0">
                  <c:v>Total</c:v>
                </c:pt>
              </c:strCache>
            </c:strRef>
          </c:tx>
          <c:spPr>
            <a:solidFill>
              <a:schemeClr val="lt1"/>
            </a:solidFill>
            <a:ln w="19050">
              <a:solidFill>
                <a:schemeClr val="accent6"/>
              </a:solidFill>
            </a:ln>
            <a:effectLst/>
          </c:spPr>
          <c:dPt>
            <c:idx val="0"/>
            <c:bubble3D val="0"/>
            <c:spPr>
              <a:solidFill>
                <a:schemeClr val="lt1"/>
              </a:solidFill>
              <a:ln w="19050">
                <a:solidFill>
                  <a:schemeClr val="accent6"/>
                </a:solidFill>
              </a:ln>
              <a:effectLst/>
            </c:spPr>
            <c:extLst>
              <c:ext xmlns:c16="http://schemas.microsoft.com/office/drawing/2014/chart" uri="{C3380CC4-5D6E-409C-BE32-E72D297353CC}">
                <c16:uniqueId val="{0000000C-3D95-486E-BCF0-31FC36AA95ED}"/>
              </c:ext>
            </c:extLst>
          </c:dPt>
          <c:dPt>
            <c:idx val="1"/>
            <c:bubble3D val="0"/>
            <c:spPr>
              <a:solidFill>
                <a:schemeClr val="lt1"/>
              </a:solidFill>
              <a:ln w="19050">
                <a:solidFill>
                  <a:schemeClr val="accent6"/>
                </a:solidFill>
              </a:ln>
              <a:effectLst/>
            </c:spPr>
            <c:extLst>
              <c:ext xmlns:c16="http://schemas.microsoft.com/office/drawing/2014/chart" uri="{C3380CC4-5D6E-409C-BE32-E72D297353CC}">
                <c16:uniqueId val="{0000000E-3D95-486E-BCF0-31FC36AA95ED}"/>
              </c:ext>
            </c:extLst>
          </c:dPt>
          <c:dPt>
            <c:idx val="2"/>
            <c:bubble3D val="0"/>
            <c:spPr>
              <a:solidFill>
                <a:schemeClr val="lt1"/>
              </a:solidFill>
              <a:ln w="19050">
                <a:solidFill>
                  <a:schemeClr val="accent6"/>
                </a:solidFill>
              </a:ln>
              <a:effectLst/>
            </c:spPr>
            <c:extLst>
              <c:ext xmlns:c16="http://schemas.microsoft.com/office/drawing/2014/chart" uri="{C3380CC4-5D6E-409C-BE32-E72D297353CC}">
                <c16:uniqueId val="{00000010-3D95-486E-BCF0-31FC36AA95ED}"/>
              </c:ext>
            </c:extLst>
          </c:dPt>
          <c:dPt>
            <c:idx val="3"/>
            <c:bubble3D val="0"/>
            <c:spPr>
              <a:solidFill>
                <a:schemeClr val="lt1"/>
              </a:solidFill>
              <a:ln w="19050">
                <a:solidFill>
                  <a:schemeClr val="accent6"/>
                </a:solidFill>
              </a:ln>
              <a:effectLst/>
            </c:spPr>
            <c:extLst>
              <c:ext xmlns:c16="http://schemas.microsoft.com/office/drawing/2014/chart" uri="{C3380CC4-5D6E-409C-BE32-E72D297353CC}">
                <c16:uniqueId val="{00000012-3D95-486E-BCF0-31FC36AA95ED}"/>
              </c:ext>
            </c:extLst>
          </c:dPt>
          <c:dPt>
            <c:idx val="4"/>
            <c:bubble3D val="0"/>
            <c:spPr>
              <a:solidFill>
                <a:schemeClr val="lt1"/>
              </a:solidFill>
              <a:ln w="19050">
                <a:solidFill>
                  <a:schemeClr val="accent6"/>
                </a:solidFill>
              </a:ln>
              <a:effectLst/>
            </c:spPr>
            <c:extLst>
              <c:ext xmlns:c16="http://schemas.microsoft.com/office/drawing/2014/chart" uri="{C3380CC4-5D6E-409C-BE32-E72D297353CC}">
                <c16:uniqueId val="{00000014-3D95-486E-BCF0-31FC36AA95E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6">
                      <a:lumMod val="60000"/>
                      <a:lumOff val="40000"/>
                    </a:schemeClr>
                  </a:solidFill>
                </a:ln>
                <a:effectLst/>
              </c:spPr>
            </c:leaderLines>
            <c:extLst>
              <c:ext xmlns:c15="http://schemas.microsoft.com/office/drawing/2012/chart" uri="{CE6537A1-D6FC-4f65-9D91-7224C49458BB}"/>
            </c:extLst>
          </c:dLbls>
          <c:cat>
            <c:strRef>
              <c:f>'Pivot Table'!$A$20:$A$25</c:f>
              <c:strCache>
                <c:ptCount val="5"/>
                <c:pt idx="0">
                  <c:v>Amazon Pay</c:v>
                </c:pt>
                <c:pt idx="1">
                  <c:v>Credit Card</c:v>
                </c:pt>
                <c:pt idx="2">
                  <c:v>Debit Card</c:v>
                </c:pt>
                <c:pt idx="3">
                  <c:v>Gift Card</c:v>
                </c:pt>
                <c:pt idx="4">
                  <c:v>PayPal</c:v>
                </c:pt>
              </c:strCache>
            </c:strRef>
          </c:cat>
          <c:val>
            <c:numRef>
              <c:f>'Pivot Table'!$B$20:$B$25</c:f>
              <c:numCache>
                <c:formatCode>General</c:formatCode>
                <c:ptCount val="5"/>
                <c:pt idx="0">
                  <c:v>41</c:v>
                </c:pt>
                <c:pt idx="1">
                  <c:v>54</c:v>
                </c:pt>
                <c:pt idx="2">
                  <c:v>53</c:v>
                </c:pt>
                <c:pt idx="3">
                  <c:v>42</c:v>
                </c:pt>
                <c:pt idx="4">
                  <c:v>60</c:v>
                </c:pt>
              </c:numCache>
            </c:numRef>
          </c:val>
          <c:extLst>
            <c:ext xmlns:c16="http://schemas.microsoft.com/office/drawing/2014/chart" uri="{C3380CC4-5D6E-409C-BE32-E72D297353CC}">
              <c16:uniqueId val="{00000015-3D95-486E-BCF0-31FC36AA95ED}"/>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chart>
  <c:spPr>
    <a:solidFill>
      <a:schemeClr val="accent6"/>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[Amazon_Sales_Analysis.xlsx.xlsx]Pivot Table!PivotTable2</c:name>
    <c:fmtId val="1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Total Sales by Product</a:t>
            </a:r>
          </a:p>
        </c:rich>
      </c:tx>
      <c:layout>
        <c:manualLayout>
          <c:xMode val="edge"/>
          <c:yMode val="edge"/>
          <c:x val="0.31611111111111118"/>
          <c:y val="0.1100904053659959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Table'!$D$4:$D$14</c:f>
              <c:strCache>
                <c:ptCount val="10"/>
                <c:pt idx="0">
                  <c:v>Refrigerator</c:v>
                </c:pt>
                <c:pt idx="1">
                  <c:v>Laptop</c:v>
                </c:pt>
                <c:pt idx="2">
                  <c:v>Smartphone</c:v>
                </c:pt>
                <c:pt idx="3">
                  <c:v>Washing Machine</c:v>
                </c:pt>
                <c:pt idx="4">
                  <c:v>Smartwatch</c:v>
                </c:pt>
                <c:pt idx="5">
                  <c:v>Headphones</c:v>
                </c:pt>
                <c:pt idx="6">
                  <c:v>Running Shoes</c:v>
                </c:pt>
                <c:pt idx="7">
                  <c:v>Jeans</c:v>
                </c:pt>
                <c:pt idx="8">
                  <c:v>T-Shirt</c:v>
                </c:pt>
                <c:pt idx="9">
                  <c:v>Book</c:v>
                </c:pt>
              </c:strCache>
            </c:strRef>
          </c:cat>
          <c:val>
            <c:numRef>
              <c:f>'Pivot Table'!$E$4:$E$14</c:f>
              <c:numCache>
                <c:formatCode>0.00</c:formatCode>
                <c:ptCount val="10"/>
                <c:pt idx="0">
                  <c:v>78000</c:v>
                </c:pt>
                <c:pt idx="1">
                  <c:v>58400</c:v>
                </c:pt>
                <c:pt idx="2">
                  <c:v>48500</c:v>
                </c:pt>
                <c:pt idx="3">
                  <c:v>27000</c:v>
                </c:pt>
                <c:pt idx="4">
                  <c:v>15750</c:v>
                </c:pt>
                <c:pt idx="5">
                  <c:v>7300</c:v>
                </c:pt>
                <c:pt idx="6">
                  <c:v>4320</c:v>
                </c:pt>
                <c:pt idx="7">
                  <c:v>2480</c:v>
                </c:pt>
                <c:pt idx="8">
                  <c:v>1060</c:v>
                </c:pt>
                <c:pt idx="9">
                  <c:v>1035</c:v>
                </c:pt>
              </c:numCache>
            </c:numRef>
          </c:val>
          <c:extLst>
            <c:ext xmlns:c16="http://schemas.microsoft.com/office/drawing/2014/chart" uri="{C3380CC4-5D6E-409C-BE32-E72D297353CC}">
              <c16:uniqueId val="{00000000-87FE-461C-9E45-0A9E0DA59ED1}"/>
            </c:ext>
          </c:extLst>
        </c:ser>
        <c:dLbls>
          <c:showLegendKey val="0"/>
          <c:showVal val="0"/>
          <c:showCatName val="0"/>
          <c:showSerName val="0"/>
          <c:showPercent val="0"/>
          <c:showBubbleSize val="0"/>
        </c:dLbls>
        <c:gapWidth val="182"/>
        <c:overlap val="-50"/>
        <c:axId val="710615552"/>
        <c:axId val="722015824"/>
      </c:barChart>
      <c:catAx>
        <c:axId val="710615552"/>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22015824"/>
        <c:crosses val="autoZero"/>
        <c:auto val="1"/>
        <c:lblAlgn val="ctr"/>
        <c:lblOffset val="100"/>
        <c:noMultiLvlLbl val="0"/>
      </c:catAx>
      <c:valAx>
        <c:axId val="722015824"/>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10615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[Amazon_Sales_Analysis.xlsx.xlsx]Pivot Table!PivotTable3</c:name>
    <c:fmtId val="11"/>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Total Sales by Customer Location</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20000"/>
              <a:lumOff val="80000"/>
            </a:schemeClr>
          </a:solidFill>
          <a:ln>
            <a:noFill/>
          </a:ln>
          <a:effectLst/>
          <a:sp3d/>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accent1">
            <a:alpha val="30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Table'!$H$3</c:f>
              <c:strCache>
                <c:ptCount val="1"/>
                <c:pt idx="0">
                  <c:v>Total</c:v>
                </c:pt>
              </c:strCache>
            </c:strRef>
          </c:tx>
          <c:spPr>
            <a:solidFill>
              <a:schemeClr val="accent1">
                <a:lumMod val="20000"/>
                <a:lumOff val="80000"/>
              </a:schemeClr>
            </a:solidFill>
            <a:ln>
              <a:noFill/>
            </a:ln>
            <a:effectLst/>
            <a:sp3d/>
          </c:spPr>
          <c:invertIfNegative val="0"/>
          <c:cat>
            <c:strRef>
              <c:f>'Pivot Table'!$G$4:$G$14</c:f>
              <c:strCache>
                <c:ptCount val="10"/>
                <c:pt idx="0">
                  <c:v>Boston</c:v>
                </c:pt>
                <c:pt idx="1">
                  <c:v>Chicago</c:v>
                </c:pt>
                <c:pt idx="2">
                  <c:v>Dallas</c:v>
                </c:pt>
                <c:pt idx="3">
                  <c:v>Denver</c:v>
                </c:pt>
                <c:pt idx="4">
                  <c:v>Houston</c:v>
                </c:pt>
                <c:pt idx="5">
                  <c:v>Los Angeles</c:v>
                </c:pt>
                <c:pt idx="6">
                  <c:v>Miami</c:v>
                </c:pt>
                <c:pt idx="7">
                  <c:v>New York</c:v>
                </c:pt>
                <c:pt idx="8">
                  <c:v>San Francisco</c:v>
                </c:pt>
                <c:pt idx="9">
                  <c:v>Seattle</c:v>
                </c:pt>
              </c:strCache>
            </c:strRef>
          </c:cat>
          <c:val>
            <c:numRef>
              <c:f>'Pivot Table'!$H$4:$H$14</c:f>
              <c:numCache>
                <c:formatCode>0.00</c:formatCode>
                <c:ptCount val="10"/>
                <c:pt idx="0">
                  <c:v>26170</c:v>
                </c:pt>
                <c:pt idx="1">
                  <c:v>20810</c:v>
                </c:pt>
                <c:pt idx="2">
                  <c:v>27145</c:v>
                </c:pt>
                <c:pt idx="3">
                  <c:v>29785</c:v>
                </c:pt>
                <c:pt idx="4">
                  <c:v>28390</c:v>
                </c:pt>
                <c:pt idx="5">
                  <c:v>17820</c:v>
                </c:pt>
                <c:pt idx="6">
                  <c:v>31700</c:v>
                </c:pt>
                <c:pt idx="7">
                  <c:v>18940</c:v>
                </c:pt>
                <c:pt idx="8">
                  <c:v>16195</c:v>
                </c:pt>
                <c:pt idx="9">
                  <c:v>26890</c:v>
                </c:pt>
              </c:numCache>
            </c:numRef>
          </c:val>
          <c:extLst>
            <c:ext xmlns:c16="http://schemas.microsoft.com/office/drawing/2014/chart" uri="{C3380CC4-5D6E-409C-BE32-E72D297353CC}">
              <c16:uniqueId val="{00000000-F960-4135-8019-41F64E02CCB8}"/>
            </c:ext>
          </c:extLst>
        </c:ser>
        <c:dLbls>
          <c:showLegendKey val="0"/>
          <c:showVal val="0"/>
          <c:showCatName val="0"/>
          <c:showSerName val="0"/>
          <c:showPercent val="0"/>
          <c:showBubbleSize val="0"/>
        </c:dLbls>
        <c:gapWidth val="154"/>
        <c:gapDepth val="0"/>
        <c:shape val="box"/>
        <c:axId val="803092576"/>
        <c:axId val="722133424"/>
        <c:axId val="0"/>
      </c:bar3DChart>
      <c:catAx>
        <c:axId val="803092576"/>
        <c:scaling>
          <c:orientation val="minMax"/>
        </c:scaling>
        <c:delete val="0"/>
        <c:axPos val="b"/>
        <c:majorGridlines>
          <c:spPr>
            <a:ln w="9525" cap="flat" cmpd="sng" algn="ctr">
              <a:solidFill>
                <a:schemeClr val="lt1">
                  <a:lumMod val="60000"/>
                  <a:lumOff val="4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all" spc="150" normalizeH="0" baseline="0">
                <a:solidFill>
                  <a:schemeClr val="lt1"/>
                </a:solidFill>
                <a:latin typeface="+mn-lt"/>
                <a:ea typeface="+mn-ea"/>
                <a:cs typeface="+mn-cs"/>
              </a:defRPr>
            </a:pPr>
            <a:endParaRPr lang="en-US"/>
          </a:p>
        </c:txPr>
        <c:crossAx val="722133424"/>
        <c:crosses val="autoZero"/>
        <c:auto val="1"/>
        <c:lblAlgn val="ctr"/>
        <c:lblOffset val="100"/>
        <c:noMultiLvlLbl val="0"/>
      </c:catAx>
      <c:valAx>
        <c:axId val="72213342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03092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[Amazon_Sales_Analysis.xlsx.xlsx]Pivot Table!PivotTable6</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Top Customers  by Spending</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ofPieChart>
        <c:ofPieType val="pie"/>
        <c:varyColors val="1"/>
        <c:ser>
          <c:idx val="0"/>
          <c:order val="0"/>
          <c:tx>
            <c:strRef>
              <c:f>'Pivot Table'!$H$19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ED3-4C5B-9131-9ABDD071227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ED3-4C5B-9131-9ABDD071227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ED3-4C5B-9131-9ABDD071227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ED3-4C5B-9131-9ABDD0712277}"/>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4ED3-4C5B-9131-9ABDD0712277}"/>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4ED3-4C5B-9131-9ABDD0712277}"/>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4ED3-4C5B-9131-9ABDD0712277}"/>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4ED3-4C5B-9131-9ABDD0712277}"/>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4ED3-4C5B-9131-9ABDD0712277}"/>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4ED3-4C5B-9131-9ABDD0712277}"/>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4ED3-4C5B-9131-9ABDD0712277}"/>
              </c:ext>
            </c:extLst>
          </c:dPt>
          <c:cat>
            <c:strRef>
              <c:f>'Pivot Table'!$G$20:$G$30</c:f>
              <c:strCache>
                <c:ptCount val="10"/>
                <c:pt idx="0">
                  <c:v>Olivia Wilson</c:v>
                </c:pt>
                <c:pt idx="1">
                  <c:v>Jane Smith</c:v>
                </c:pt>
                <c:pt idx="2">
                  <c:v>Emma Clark</c:v>
                </c:pt>
                <c:pt idx="3">
                  <c:v>John Doe</c:v>
                </c:pt>
                <c:pt idx="4">
                  <c:v>Emily Johnson</c:v>
                </c:pt>
                <c:pt idx="5">
                  <c:v>David Lee</c:v>
                </c:pt>
                <c:pt idx="6">
                  <c:v>Michael Brown</c:v>
                </c:pt>
                <c:pt idx="7">
                  <c:v>Daniel Harris</c:v>
                </c:pt>
                <c:pt idx="8">
                  <c:v>Chris White</c:v>
                </c:pt>
                <c:pt idx="9">
                  <c:v>Sophia Miller</c:v>
                </c:pt>
              </c:strCache>
            </c:strRef>
          </c:cat>
          <c:val>
            <c:numRef>
              <c:f>'Pivot Table'!$H$20:$H$30</c:f>
              <c:numCache>
                <c:formatCode>0.00</c:formatCode>
                <c:ptCount val="10"/>
                <c:pt idx="0">
                  <c:v>36170</c:v>
                </c:pt>
                <c:pt idx="1">
                  <c:v>31185</c:v>
                </c:pt>
                <c:pt idx="2">
                  <c:v>29700</c:v>
                </c:pt>
                <c:pt idx="3">
                  <c:v>26870</c:v>
                </c:pt>
                <c:pt idx="4">
                  <c:v>23475</c:v>
                </c:pt>
                <c:pt idx="5">
                  <c:v>22665</c:v>
                </c:pt>
                <c:pt idx="6">
                  <c:v>22655</c:v>
                </c:pt>
                <c:pt idx="7">
                  <c:v>18945</c:v>
                </c:pt>
                <c:pt idx="8">
                  <c:v>18885</c:v>
                </c:pt>
                <c:pt idx="9">
                  <c:v>13295</c:v>
                </c:pt>
              </c:numCache>
            </c:numRef>
          </c:val>
          <c:extLst>
            <c:ext xmlns:c16="http://schemas.microsoft.com/office/drawing/2014/chart" uri="{C3380CC4-5D6E-409C-BE32-E72D297353CC}">
              <c16:uniqueId val="{00000016-4ED3-4C5B-9131-9ABDD0712277}"/>
            </c:ext>
          </c:extLst>
        </c:ser>
        <c:dLbls>
          <c:showLegendKey val="0"/>
          <c:showVal val="0"/>
          <c:showCatName val="0"/>
          <c:showSerName val="0"/>
          <c:showPercent val="0"/>
          <c:showBubbleSize val="0"/>
          <c:showLeaderLines val="1"/>
        </c:dLbls>
        <c:gapWidth val="100"/>
        <c:secondPieSize val="75"/>
        <c:serLines>
          <c:spPr>
            <a:ln w="9525" cap="flat" cmpd="sng" algn="ctr">
              <a:solidFill>
                <a:schemeClr val="lt1">
                  <a:lumMod val="95000"/>
                  <a:alpha val="54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5">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lumMod val="20000"/>
          <a:lumOff val="80000"/>
        </a:schemeClr>
      </a:solidFill>
    </cs:spPr>
  </cs:dataPoint>
  <cs:dataPoint3D>
    <cs:lnRef idx="0"/>
    <cs:fillRef idx="0">
      <cs:styleClr val="auto"/>
    </cs:fillRef>
    <cs:effectRef idx="0"/>
    <cs:fontRef idx="minor">
      <a:schemeClr val="dk1"/>
    </cs:fontRef>
    <cs:spPr>
      <a:solidFill>
        <a:schemeClr val="phClr">
          <a:lumMod val="20000"/>
          <a:lumOff val="80000"/>
        </a:schemeClr>
      </a:solidFill>
      <a:sp3d/>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styleClr val="0"/>
    </cs:fillRef>
    <cs:effectRef idx="0"/>
    <cs:fontRef idx="minor">
      <a:schemeClr val="dk1"/>
    </cs:fontRef>
    <cs:spPr>
      <a:solidFill>
        <a:schemeClr val="phClr">
          <a:alpha val="30000"/>
        </a:schemeClr>
      </a:solidFill>
      <a:sp3d/>
    </cs:spPr>
  </cs:floor>
  <cs:gridlineMajor>
    <cs:lnRef idx="0">
      <cs:styleClr val="0"/>
    </cs:lnRef>
    <cs:fillRef idx="0"/>
    <cs:effectRef idx="0"/>
    <cs:fontRef idx="minor">
      <a:schemeClr val="dk1"/>
    </cs:fontRef>
    <cs:spPr>
      <a:ln w="9525" cap="flat" cmpd="sng" algn="ctr">
        <a:solidFill>
          <a:schemeClr val="lt1">
            <a:lumMod val="60000"/>
            <a:lumOff val="40000"/>
          </a:schemeClr>
        </a:solidFill>
        <a:round/>
      </a:ln>
    </cs:spPr>
  </cs:gridlineMajor>
  <cs:gridlineMinor>
    <cs:lnRef idx="0">
      <cs:styleClr val="0"/>
    </cs:lnRef>
    <cs:fillRef idx="0"/>
    <cs:effectRef idx="0"/>
    <cs:fontRef idx="minor">
      <a:schemeClr val="dk1"/>
    </cs:fontRef>
    <cs:spPr>
      <a:ln>
        <a:solidFill>
          <a:schemeClr val="lt1">
            <a:lumMod val="50000"/>
            <a:lumOff val="5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3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7620</xdr:colOff>
      <xdr:row>0</xdr:row>
      <xdr:rowOff>228600</xdr:rowOff>
    </xdr:from>
    <xdr:to>
      <xdr:col>7</xdr:col>
      <xdr:colOff>312420</xdr:colOff>
      <xdr:row>15</xdr:row>
      <xdr:rowOff>137160</xdr:rowOff>
    </xdr:to>
    <xdr:graphicFrame macro="">
      <xdr:nvGraphicFramePr>
        <xdr:cNvPr id="3" name="Chart 2">
          <a:extLst>
            <a:ext uri="{FF2B5EF4-FFF2-40B4-BE49-F238E27FC236}">
              <a16:creationId xmlns:a16="http://schemas.microsoft.com/office/drawing/2014/main" id="{6CE78890-B962-4FC2-B163-77563B0928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15</xdr:row>
      <xdr:rowOff>129540</xdr:rowOff>
    </xdr:from>
    <xdr:to>
      <xdr:col>7</xdr:col>
      <xdr:colOff>304800</xdr:colOff>
      <xdr:row>30</xdr:row>
      <xdr:rowOff>129540</xdr:rowOff>
    </xdr:to>
    <xdr:graphicFrame macro="">
      <xdr:nvGraphicFramePr>
        <xdr:cNvPr id="8" name="Chart 7">
          <a:extLst>
            <a:ext uri="{FF2B5EF4-FFF2-40B4-BE49-F238E27FC236}">
              <a16:creationId xmlns:a16="http://schemas.microsoft.com/office/drawing/2014/main" id="{2E2896AB-9CF7-4F01-80C5-2E55CBF127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327660</xdr:colOff>
      <xdr:row>15</xdr:row>
      <xdr:rowOff>137160</xdr:rowOff>
    </xdr:from>
    <xdr:to>
      <xdr:col>15</xdr:col>
      <xdr:colOff>22860</xdr:colOff>
      <xdr:row>30</xdr:row>
      <xdr:rowOff>137160</xdr:rowOff>
    </xdr:to>
    <xdr:graphicFrame macro="">
      <xdr:nvGraphicFramePr>
        <xdr:cNvPr id="9" name="Chart 8">
          <a:extLst>
            <a:ext uri="{FF2B5EF4-FFF2-40B4-BE49-F238E27FC236}">
              <a16:creationId xmlns:a16="http://schemas.microsoft.com/office/drawing/2014/main" id="{2F0F19B1-594E-416E-BF21-2257E61ED2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320040</xdr:colOff>
      <xdr:row>0</xdr:row>
      <xdr:rowOff>236220</xdr:rowOff>
    </xdr:from>
    <xdr:to>
      <xdr:col>15</xdr:col>
      <xdr:colOff>15240</xdr:colOff>
      <xdr:row>15</xdr:row>
      <xdr:rowOff>144780</xdr:rowOff>
    </xdr:to>
    <xdr:graphicFrame macro="">
      <xdr:nvGraphicFramePr>
        <xdr:cNvPr id="2" name="Chart 1">
          <a:extLst>
            <a:ext uri="{FF2B5EF4-FFF2-40B4-BE49-F238E27FC236}">
              <a16:creationId xmlns:a16="http://schemas.microsoft.com/office/drawing/2014/main" id="{2A015F3D-FF74-4853-9873-FB66B10DE2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38100</xdr:colOff>
      <xdr:row>0</xdr:row>
      <xdr:rowOff>236220</xdr:rowOff>
    </xdr:from>
    <xdr:to>
      <xdr:col>22</xdr:col>
      <xdr:colOff>342900</xdr:colOff>
      <xdr:row>15</xdr:row>
      <xdr:rowOff>144780</xdr:rowOff>
    </xdr:to>
    <xdr:graphicFrame macro="">
      <xdr:nvGraphicFramePr>
        <xdr:cNvPr id="5" name="Chart 4">
          <a:extLst>
            <a:ext uri="{FF2B5EF4-FFF2-40B4-BE49-F238E27FC236}">
              <a16:creationId xmlns:a16="http://schemas.microsoft.com/office/drawing/2014/main" id="{9BC4CC33-59B2-461B-8D28-944872EF1D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30480</xdr:colOff>
      <xdr:row>15</xdr:row>
      <xdr:rowOff>144780</xdr:rowOff>
    </xdr:from>
    <xdr:to>
      <xdr:col>22</xdr:col>
      <xdr:colOff>335280</xdr:colOff>
      <xdr:row>30</xdr:row>
      <xdr:rowOff>144780</xdr:rowOff>
    </xdr:to>
    <xdr:graphicFrame macro="">
      <xdr:nvGraphicFramePr>
        <xdr:cNvPr id="13" name="Chart 12">
          <a:extLst>
            <a:ext uri="{FF2B5EF4-FFF2-40B4-BE49-F238E27FC236}">
              <a16:creationId xmlns:a16="http://schemas.microsoft.com/office/drawing/2014/main" id="{9C0996C5-A616-49FE-819B-D058E940AB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38100</xdr:colOff>
      <xdr:row>0</xdr:row>
      <xdr:rowOff>68580</xdr:rowOff>
    </xdr:from>
    <xdr:to>
      <xdr:col>3</xdr:col>
      <xdr:colOff>38100</xdr:colOff>
      <xdr:row>13</xdr:row>
      <xdr:rowOff>158115</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78A61201-A400-4217-B4BD-E11599F6483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8100" y="685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0</xdr:colOff>
      <xdr:row>0</xdr:row>
      <xdr:rowOff>38100</xdr:rowOff>
    </xdr:from>
    <xdr:to>
      <xdr:col>7</xdr:col>
      <xdr:colOff>0</xdr:colOff>
      <xdr:row>13</xdr:row>
      <xdr:rowOff>127635</xdr:rowOff>
    </xdr:to>
    <mc:AlternateContent xmlns:mc="http://schemas.openxmlformats.org/markup-compatibility/2006" xmlns:a14="http://schemas.microsoft.com/office/drawing/2010/main">
      <mc:Choice Requires="a14">
        <xdr:graphicFrame macro="">
          <xdr:nvGraphicFramePr>
            <xdr:cNvPr id="3" name="Customer Location">
              <a:extLst>
                <a:ext uri="{FF2B5EF4-FFF2-40B4-BE49-F238E27FC236}">
                  <a16:creationId xmlns:a16="http://schemas.microsoft.com/office/drawing/2014/main" id="{EA32B860-F0B0-4D6C-A174-54034C808461}"/>
                </a:ext>
              </a:extLst>
            </xdr:cNvPr>
            <xdr:cNvGraphicFramePr/>
          </xdr:nvGraphicFramePr>
          <xdr:xfrm>
            <a:off x="0" y="0"/>
            <a:ext cx="0" cy="0"/>
          </xdr:xfrm>
          <a:graphic>
            <a:graphicData uri="http://schemas.microsoft.com/office/drawing/2010/slicer">
              <sle:slicer xmlns:sle="http://schemas.microsoft.com/office/drawing/2010/slicer" name="Customer Location"/>
            </a:graphicData>
          </a:graphic>
        </xdr:graphicFrame>
      </mc:Choice>
      <mc:Fallback xmlns="">
        <xdr:sp macro="" textlink="">
          <xdr:nvSpPr>
            <xdr:cNvPr id="0" name=""/>
            <xdr:cNvSpPr>
              <a:spLocks noTextEdit="1"/>
            </xdr:cNvSpPr>
          </xdr:nvSpPr>
          <xdr:spPr>
            <a:xfrm>
              <a:off x="2438400" y="381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601980</xdr:colOff>
      <xdr:row>0</xdr:row>
      <xdr:rowOff>30480</xdr:rowOff>
    </xdr:from>
    <xdr:to>
      <xdr:col>10</xdr:col>
      <xdr:colOff>601980</xdr:colOff>
      <xdr:row>13</xdr:row>
      <xdr:rowOff>120015</xdr:rowOff>
    </xdr:to>
    <mc:AlternateContent xmlns:mc="http://schemas.openxmlformats.org/markup-compatibility/2006" xmlns:a14="http://schemas.microsoft.com/office/drawing/2010/main">
      <mc:Choice Requires="a14">
        <xdr:graphicFrame macro="">
          <xdr:nvGraphicFramePr>
            <xdr:cNvPr id="4" name="Order Status Flag">
              <a:extLst>
                <a:ext uri="{FF2B5EF4-FFF2-40B4-BE49-F238E27FC236}">
                  <a16:creationId xmlns:a16="http://schemas.microsoft.com/office/drawing/2014/main" id="{9ABDFB09-464C-41E6-991D-3A2809B99425}"/>
                </a:ext>
              </a:extLst>
            </xdr:cNvPr>
            <xdr:cNvGraphicFramePr/>
          </xdr:nvGraphicFramePr>
          <xdr:xfrm>
            <a:off x="0" y="0"/>
            <a:ext cx="0" cy="0"/>
          </xdr:xfrm>
          <a:graphic>
            <a:graphicData uri="http://schemas.microsoft.com/office/drawing/2010/slicer">
              <sle:slicer xmlns:sle="http://schemas.microsoft.com/office/drawing/2010/slicer" name="Order Status Flag"/>
            </a:graphicData>
          </a:graphic>
        </xdr:graphicFrame>
      </mc:Choice>
      <mc:Fallback xmlns="">
        <xdr:sp macro="" textlink="">
          <xdr:nvSpPr>
            <xdr:cNvPr id="0" name=""/>
            <xdr:cNvSpPr>
              <a:spLocks noTextEdit="1"/>
            </xdr:cNvSpPr>
          </xdr:nvSpPr>
          <xdr:spPr>
            <a:xfrm>
              <a:off x="4869180" y="304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441960</xdr:colOff>
      <xdr:row>0</xdr:row>
      <xdr:rowOff>38100</xdr:rowOff>
    </xdr:from>
    <xdr:to>
      <xdr:col>14</xdr:col>
      <xdr:colOff>441960</xdr:colOff>
      <xdr:row>13</xdr:row>
      <xdr:rowOff>127635</xdr:rowOff>
    </xdr:to>
    <mc:AlternateContent xmlns:mc="http://schemas.openxmlformats.org/markup-compatibility/2006" xmlns:a14="http://schemas.microsoft.com/office/drawing/2010/main">
      <mc:Choice Requires="a14">
        <xdr:graphicFrame macro="">
          <xdr:nvGraphicFramePr>
            <xdr:cNvPr id="5" name="Month">
              <a:extLst>
                <a:ext uri="{FF2B5EF4-FFF2-40B4-BE49-F238E27FC236}">
                  <a16:creationId xmlns:a16="http://schemas.microsoft.com/office/drawing/2014/main" id="{47BEB752-9DFE-4B46-970F-901A188C938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7147560" y="381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harshitha" refreshedDate="46297.586134490739" createdVersion="8" refreshedVersion="8" minRefreshableVersion="3" recordCount="250" xr:uid="{BAF474D3-9546-4766-9AD7-F4931DE47102}">
  <cacheSource type="worksheet">
    <worksheetSource ref="A1:U251" sheet="Cleaned Data"/>
  </cacheSource>
  <cacheFields count="21">
    <cacheField name="Order ID" numFmtId="0">
      <sharedItems count="250">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6"/>
        <s v="ORD0077"/>
        <s v="ORD0078"/>
        <s v="ORD0079"/>
        <s v="ORD0080"/>
        <s v="ORD0081"/>
        <s v="ORD0082"/>
        <s v="ORD0083"/>
        <s v="ORD0084"/>
        <s v="ORD0085"/>
        <s v="ORD0086"/>
        <s v="ORD0087"/>
        <s v="ORD0088"/>
        <s v="ORD0089"/>
        <s v="ORD0090"/>
        <s v="ORD0091"/>
        <s v="ORD0092"/>
        <s v="ORD0093"/>
        <s v="ORD0094"/>
        <s v="ORD0095"/>
        <s v="ORD0096"/>
        <s v="ORD0097"/>
        <s v="ORD0098"/>
        <s v="ORD0099"/>
        <s v="ORD0100"/>
        <s v="ORD0101"/>
        <s v="ORD0102"/>
        <s v="ORD0103"/>
        <s v="ORD0104"/>
        <s v="ORD0105"/>
        <s v="ORD0106"/>
        <s v="ORD0107"/>
        <s v="ORD0108"/>
        <s v="ORD0109"/>
        <s v="ORD0110"/>
        <s v="ORD0111"/>
        <s v="ORD0112"/>
        <s v="ORD0113"/>
        <s v="ORD0114"/>
        <s v="ORD0115"/>
        <s v="ORD0116"/>
        <s v="ORD0117"/>
        <s v="ORD0118"/>
        <s v="ORD0119"/>
        <s v="ORD0120"/>
        <s v="ORD0121"/>
        <s v="ORD0122"/>
        <s v="ORD0123"/>
        <s v="ORD0124"/>
        <s v="ORD0125"/>
        <s v="ORD0126"/>
        <s v="ORD0127"/>
        <s v="ORD0128"/>
        <s v="ORD0129"/>
        <s v="ORD0130"/>
        <s v="ORD0131"/>
        <s v="ORD0132"/>
        <s v="ORD0133"/>
        <s v="ORD0134"/>
        <s v="ORD0135"/>
        <s v="ORD0136"/>
        <s v="ORD0137"/>
        <s v="ORD0138"/>
        <s v="ORD0139"/>
        <s v="ORD0140"/>
        <s v="ORD0141"/>
        <s v="ORD0142"/>
        <s v="ORD0143"/>
        <s v="ORD0144"/>
        <s v="ORD0145"/>
        <s v="ORD0146"/>
        <s v="ORD0147"/>
        <s v="ORD0148"/>
        <s v="ORD0149"/>
        <s v="ORD0150"/>
        <s v="ORD0151"/>
        <s v="ORD0152"/>
        <s v="ORD0153"/>
        <s v="ORD0154"/>
        <s v="ORD0155"/>
        <s v="ORD0156"/>
        <s v="ORD0157"/>
        <s v="ORD0158"/>
        <s v="ORD0159"/>
        <s v="ORD0160"/>
        <s v="ORD0161"/>
        <s v="ORD0162"/>
        <s v="ORD0163"/>
        <s v="ORD0164"/>
        <s v="ORD0165"/>
        <s v="ORD0166"/>
        <s v="ORD0167"/>
        <s v="ORD0168"/>
        <s v="ORD0169"/>
        <s v="ORD0170"/>
        <s v="ORD0171"/>
        <s v="ORD0172"/>
        <s v="ORD0173"/>
        <s v="ORD0174"/>
        <s v="ORD0175"/>
        <s v="ORD0176"/>
        <s v="ORD0177"/>
        <s v="ORD0178"/>
        <s v="ORD0179"/>
        <s v="ORD0180"/>
        <s v="ORD0181"/>
        <s v="ORD0182"/>
        <s v="ORD0183"/>
        <s v="ORD0184"/>
        <s v="ORD0185"/>
        <s v="ORD0186"/>
        <s v="ORD0187"/>
        <s v="ORD0188"/>
        <s v="ORD0189"/>
        <s v="ORD0190"/>
        <s v="ORD0191"/>
        <s v="ORD0192"/>
        <s v="ORD0193"/>
        <s v="ORD0194"/>
        <s v="ORD0195"/>
        <s v="ORD0196"/>
        <s v="ORD0197"/>
        <s v="ORD0198"/>
        <s v="ORD0199"/>
        <s v="ORD0200"/>
        <s v="ORD0201"/>
        <s v="ORD0202"/>
        <s v="ORD0203"/>
        <s v="ORD0204"/>
        <s v="ORD0205"/>
        <s v="ORD0206"/>
        <s v="ORD0207"/>
        <s v="ORD0208"/>
        <s v="ORD0209"/>
        <s v="ORD0210"/>
        <s v="ORD0211"/>
        <s v="ORD0212"/>
        <s v="ORD0213"/>
        <s v="ORD0214"/>
        <s v="ORD0215"/>
        <s v="ORD0216"/>
        <s v="ORD0217"/>
        <s v="ORD0218"/>
        <s v="ORD0219"/>
        <s v="ORD0220"/>
        <s v="ORD0221"/>
        <s v="ORD0222"/>
        <s v="ORD0223"/>
        <s v="ORD0224"/>
        <s v="ORD0225"/>
        <s v="ORD0226"/>
        <s v="ORD0227"/>
        <s v="ORD0228"/>
        <s v="ORD0229"/>
        <s v="ORD0230"/>
        <s v="ORD0231"/>
        <s v="ORD0232"/>
        <s v="ORD0233"/>
        <s v="ORD0234"/>
        <s v="ORD0235"/>
        <s v="ORD0236"/>
        <s v="ORD0237"/>
        <s v="ORD0238"/>
        <s v="ORD0239"/>
        <s v="ORD0240"/>
        <s v="ORD0241"/>
        <s v="ORD0242"/>
        <s v="ORD0243"/>
        <s v="ORD0244"/>
        <s v="ORD0245"/>
        <s v="ORD0246"/>
        <s v="ORD0247"/>
        <s v="ORD0248"/>
        <s v="ORD0249"/>
        <s v="ORD0250"/>
      </sharedItems>
    </cacheField>
    <cacheField name="Date" numFmtId="14">
      <sharedItems containsSemiMixedTypes="0" containsNonDate="0" containsDate="1" containsString="0" minDate="2025-02-02T00:00:00" maxDate="2025-04-03T00:00:00"/>
    </cacheField>
    <cacheField name="Product" numFmtId="0">
      <sharedItems count="10">
        <s v="Running Shoes"/>
        <s v="Headphones"/>
        <s v="Smartwatch"/>
        <s v="T-Shirt"/>
        <s v="Smartphone"/>
        <s v="Book"/>
        <s v="Jeans"/>
        <s v="Laptop"/>
        <s v="Washing Machine"/>
        <s v="Refrigerator"/>
      </sharedItems>
    </cacheField>
    <cacheField name="Category" numFmtId="0">
      <sharedItems count="5">
        <s v="Footwear"/>
        <s v="Electronics"/>
        <s v="Clothing"/>
        <s v="Books"/>
        <s v="Home Appliances"/>
      </sharedItems>
    </cacheField>
    <cacheField name="Price" numFmtId="2">
      <sharedItems containsSemiMixedTypes="0" containsString="0" containsNumber="1" containsInteger="1" minValue="15" maxValue="1200"/>
    </cacheField>
    <cacheField name="Quantity" numFmtId="1">
      <sharedItems containsSemiMixedTypes="0" containsString="0" containsNumber="1" containsInteger="1" minValue="1" maxValue="5"/>
    </cacheField>
    <cacheField name="Total Sales" numFmtId="2">
      <sharedItems containsSemiMixedTypes="0" containsString="0" containsNumber="1" containsInteger="1" minValue="15" maxValue="6000"/>
    </cacheField>
    <cacheField name="Customer Name" numFmtId="0">
      <sharedItems count="10">
        <s v="Emma Clark"/>
        <s v="Emily Johnson"/>
        <s v="John Doe"/>
        <s v="Olivia Wilson"/>
        <s v="Sophia Miller"/>
        <s v="David Lee"/>
        <s v="Michael Brown"/>
        <s v="Daniel Harris"/>
        <s v="Chris White"/>
        <s v="Jane Smith"/>
      </sharedItems>
    </cacheField>
    <cacheField name="Customer Location" numFmtId="0">
      <sharedItems count="10">
        <s v="New York"/>
        <s v="San Francisco"/>
        <s v="Denver"/>
        <s v="Dallas"/>
        <s v="Houston"/>
        <s v="Miami"/>
        <s v="Boston"/>
        <s v="Seattle"/>
        <s v="Los Angeles"/>
        <s v="Chicago"/>
      </sharedItems>
    </cacheField>
    <cacheField name="Payment Method" numFmtId="0">
      <sharedItems count="5">
        <s v="Debit Card"/>
        <s v="Amazon Pay"/>
        <s v="Credit Card"/>
        <s v="PayPal"/>
        <s v="Gift Card"/>
      </sharedItems>
    </cacheField>
    <cacheField name="Status" numFmtId="0">
      <sharedItems/>
    </cacheField>
    <cacheField name="Clean Product" numFmtId="0">
      <sharedItems/>
    </cacheField>
    <cacheField name="Clean Category" numFmtId="0">
      <sharedItems/>
    </cacheField>
    <cacheField name="Clean Customer Name" numFmtId="0">
      <sharedItems/>
    </cacheField>
    <cacheField name="Clean Customer Location" numFmtId="0">
      <sharedItems/>
    </cacheField>
    <cacheField name="Clean Payment Method" numFmtId="0">
      <sharedItems/>
    </cacheField>
    <cacheField name="Clean Status" numFmtId="0">
      <sharedItems/>
    </cacheField>
    <cacheField name="Sales Validation" numFmtId="0">
      <sharedItems/>
    </cacheField>
    <cacheField name="Month" numFmtId="0">
      <sharedItems count="3">
        <s v="Mar"/>
        <s v="Feb"/>
        <s v="Apr"/>
      </sharedItems>
    </cacheField>
    <cacheField name="Day of Week" numFmtId="0">
      <sharedItems/>
    </cacheField>
    <cacheField name="Order Status Flag" numFmtId="0">
      <sharedItems count="3">
        <s v="Cancelled"/>
        <s v="Pending"/>
        <s v="Completed"/>
      </sharedItems>
    </cacheField>
  </cacheFields>
  <extLst>
    <ext xmlns:x14="http://schemas.microsoft.com/office/spreadsheetml/2009/9/main" uri="{725AE2AE-9491-48be-B2B4-4EB974FC3084}">
      <x14:pivotCacheDefinition pivotCacheId="11517959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x v="0"/>
    <d v="2025-03-14T00:00:00"/>
    <x v="0"/>
    <x v="0"/>
    <n v="60"/>
    <n v="3"/>
    <n v="180"/>
    <x v="0"/>
    <x v="0"/>
    <x v="0"/>
    <s v="Cancelled"/>
    <s v="Running Shoes"/>
    <s v="Footwear"/>
    <s v="Emma Clark"/>
    <s v="New York"/>
    <s v="Debit Card"/>
    <s v="Cancelled"/>
    <b v="1"/>
    <x v="0"/>
    <s v="Friday"/>
    <x v="0"/>
  </r>
  <r>
    <x v="1"/>
    <d v="2025-03-20T00:00:00"/>
    <x v="1"/>
    <x v="1"/>
    <n v="100"/>
    <n v="4"/>
    <n v="400"/>
    <x v="1"/>
    <x v="1"/>
    <x v="0"/>
    <s v="Pending"/>
    <s v="Headphones"/>
    <s v="Electronics"/>
    <s v="Emily Johnson"/>
    <s v="San Francisco"/>
    <s v="Debit Card"/>
    <s v="Pending"/>
    <b v="1"/>
    <x v="0"/>
    <s v="Thursday"/>
    <x v="1"/>
  </r>
  <r>
    <x v="2"/>
    <d v="2025-02-15T00:00:00"/>
    <x v="0"/>
    <x v="0"/>
    <n v="60"/>
    <n v="2"/>
    <n v="120"/>
    <x v="2"/>
    <x v="2"/>
    <x v="1"/>
    <s v="Cancelled"/>
    <s v="Running Shoes"/>
    <s v="Footwear"/>
    <s v="John Doe"/>
    <s v="Denver"/>
    <s v="Amazon Pay"/>
    <s v="Cancelled"/>
    <b v="1"/>
    <x v="1"/>
    <s v="Saturday"/>
    <x v="0"/>
  </r>
  <r>
    <x v="3"/>
    <d v="2025-02-19T00:00:00"/>
    <x v="0"/>
    <x v="0"/>
    <n v="60"/>
    <n v="3"/>
    <n v="180"/>
    <x v="3"/>
    <x v="3"/>
    <x v="2"/>
    <s v="Pending"/>
    <s v="Running Shoes"/>
    <s v="Footwear"/>
    <s v="Olivia Wilson"/>
    <s v="Dallas"/>
    <s v="Credit Card"/>
    <s v="Pending"/>
    <b v="1"/>
    <x v="1"/>
    <s v="Wednesday"/>
    <x v="1"/>
  </r>
  <r>
    <x v="4"/>
    <d v="2025-03-10T00:00:00"/>
    <x v="2"/>
    <x v="1"/>
    <n v="150"/>
    <n v="3"/>
    <n v="450"/>
    <x v="0"/>
    <x v="0"/>
    <x v="0"/>
    <s v="Pending"/>
    <s v="Smartwatch"/>
    <s v="Electronics"/>
    <s v="Emma Clark"/>
    <s v="New York"/>
    <s v="Debit Card"/>
    <s v="Pending"/>
    <b v="1"/>
    <x v="0"/>
    <s v="Monday"/>
    <x v="1"/>
  </r>
  <r>
    <x v="5"/>
    <d v="2025-03-14T00:00:00"/>
    <x v="3"/>
    <x v="2"/>
    <n v="20"/>
    <n v="1"/>
    <n v="20"/>
    <x v="2"/>
    <x v="3"/>
    <x v="2"/>
    <s v="Pending"/>
    <s v="T-Shirt"/>
    <s v="Clothing"/>
    <s v="John Doe"/>
    <s v="Dallas"/>
    <s v="Credit Card"/>
    <s v="Pending"/>
    <b v="1"/>
    <x v="0"/>
    <s v="Friday"/>
    <x v="1"/>
  </r>
  <r>
    <x v="6"/>
    <d v="2025-03-18T00:00:00"/>
    <x v="2"/>
    <x v="1"/>
    <n v="150"/>
    <n v="4"/>
    <n v="600"/>
    <x v="0"/>
    <x v="4"/>
    <x v="3"/>
    <s v="Completed"/>
    <s v="Smartwatch"/>
    <s v="Electronics"/>
    <s v="Emma Clark"/>
    <s v="Houston"/>
    <s v="Paypal"/>
    <s v="Completed"/>
    <b v="1"/>
    <x v="0"/>
    <s v="Tuesday"/>
    <x v="2"/>
  </r>
  <r>
    <x v="7"/>
    <d v="2025-03-02T00:00:00"/>
    <x v="4"/>
    <x v="1"/>
    <n v="500"/>
    <n v="1"/>
    <n v="500"/>
    <x v="4"/>
    <x v="5"/>
    <x v="3"/>
    <s v="Completed"/>
    <s v="Smartphone"/>
    <s v="Electronics"/>
    <s v="Sophia Miller"/>
    <s v="Miami"/>
    <s v="Paypal"/>
    <s v="Completed"/>
    <b v="1"/>
    <x v="0"/>
    <s v="Sunday"/>
    <x v="2"/>
  </r>
  <r>
    <x v="8"/>
    <d v="2025-03-08T00:00:00"/>
    <x v="3"/>
    <x v="2"/>
    <n v="20"/>
    <n v="3"/>
    <n v="60"/>
    <x v="4"/>
    <x v="6"/>
    <x v="3"/>
    <s v="Completed"/>
    <s v="T-Shirt"/>
    <s v="Clothing"/>
    <s v="Sophia Miller"/>
    <s v="Boston"/>
    <s v="Paypal"/>
    <s v="Completed"/>
    <b v="1"/>
    <x v="0"/>
    <s v="Saturday"/>
    <x v="2"/>
  </r>
  <r>
    <x v="9"/>
    <d v="2025-03-12T00:00:00"/>
    <x v="4"/>
    <x v="1"/>
    <n v="500"/>
    <n v="1"/>
    <n v="500"/>
    <x v="1"/>
    <x v="1"/>
    <x v="2"/>
    <s v="Cancelled"/>
    <s v="Smartphone"/>
    <s v="Electronics"/>
    <s v="Emily Johnson"/>
    <s v="San Francisco"/>
    <s v="Credit Card"/>
    <s v="Cancelled"/>
    <b v="1"/>
    <x v="0"/>
    <s v="Wednesday"/>
    <x v="0"/>
  </r>
  <r>
    <x v="10"/>
    <d v="2025-02-17T00:00:00"/>
    <x v="5"/>
    <x v="3"/>
    <n v="15"/>
    <n v="2"/>
    <n v="30"/>
    <x v="5"/>
    <x v="6"/>
    <x v="1"/>
    <s v="Pending"/>
    <s v="Book"/>
    <s v="Books"/>
    <s v="David Lee"/>
    <s v="Boston"/>
    <s v="Amazon Pay"/>
    <s v="Pending"/>
    <b v="1"/>
    <x v="1"/>
    <s v="Monday"/>
    <x v="1"/>
  </r>
  <r>
    <x v="11"/>
    <d v="2025-03-13T00:00:00"/>
    <x v="6"/>
    <x v="2"/>
    <n v="40"/>
    <n v="4"/>
    <n v="160"/>
    <x v="6"/>
    <x v="3"/>
    <x v="2"/>
    <s v="Completed"/>
    <s v="Jeans"/>
    <s v="Clothing"/>
    <s v="Michael Brown"/>
    <s v="Dallas"/>
    <s v="Credit Card"/>
    <s v="Completed"/>
    <b v="1"/>
    <x v="0"/>
    <s v="Thursday"/>
    <x v="2"/>
  </r>
  <r>
    <x v="12"/>
    <d v="2025-03-01T00:00:00"/>
    <x v="7"/>
    <x v="1"/>
    <n v="800"/>
    <n v="2"/>
    <n v="1600"/>
    <x v="7"/>
    <x v="1"/>
    <x v="4"/>
    <s v="Pending"/>
    <s v="Laptop"/>
    <s v="Electronics"/>
    <s v="Daniel Harris"/>
    <s v="San Francisco"/>
    <s v="Gift Card"/>
    <s v="Pending"/>
    <b v="1"/>
    <x v="0"/>
    <s v="Saturday"/>
    <x v="1"/>
  </r>
  <r>
    <x v="13"/>
    <d v="2025-03-04T00:00:00"/>
    <x v="8"/>
    <x v="4"/>
    <n v="600"/>
    <n v="3"/>
    <n v="1800"/>
    <x v="6"/>
    <x v="5"/>
    <x v="2"/>
    <s v="Cancelled"/>
    <s v="Washing Machine"/>
    <s v="Home Appliances"/>
    <s v="Michael Brown"/>
    <s v="Miami"/>
    <s v="Credit Card"/>
    <s v="Cancelled"/>
    <b v="1"/>
    <x v="0"/>
    <s v="Tuesday"/>
    <x v="0"/>
  </r>
  <r>
    <x v="14"/>
    <d v="2025-02-20T00:00:00"/>
    <x v="2"/>
    <x v="1"/>
    <n v="150"/>
    <n v="4"/>
    <n v="600"/>
    <x v="2"/>
    <x v="7"/>
    <x v="2"/>
    <s v="Completed"/>
    <s v="Smartwatch"/>
    <s v="Electronics"/>
    <s v="John Doe"/>
    <s v="Seattle"/>
    <s v="Credit Card"/>
    <s v="Completed"/>
    <b v="1"/>
    <x v="1"/>
    <s v="Thursday"/>
    <x v="2"/>
  </r>
  <r>
    <x v="15"/>
    <d v="2025-02-26T00:00:00"/>
    <x v="9"/>
    <x v="4"/>
    <n v="1200"/>
    <n v="1"/>
    <n v="1200"/>
    <x v="2"/>
    <x v="6"/>
    <x v="2"/>
    <s v="Cancelled"/>
    <s v="Refrigerator"/>
    <s v="Home Appliances"/>
    <s v="John Doe"/>
    <s v="Boston"/>
    <s v="Credit Card"/>
    <s v="Cancelled"/>
    <b v="1"/>
    <x v="1"/>
    <s v="Wednesday"/>
    <x v="0"/>
  </r>
  <r>
    <x v="16"/>
    <d v="2025-04-01T00:00:00"/>
    <x v="3"/>
    <x v="2"/>
    <n v="20"/>
    <n v="1"/>
    <n v="20"/>
    <x v="0"/>
    <x v="0"/>
    <x v="1"/>
    <s v="Completed"/>
    <s v="T-Shirt"/>
    <s v="Clothing"/>
    <s v="Emma Clark"/>
    <s v="New York"/>
    <s v="Amazon Pay"/>
    <s v="Completed"/>
    <b v="1"/>
    <x v="2"/>
    <s v="Tuesday"/>
    <x v="2"/>
  </r>
  <r>
    <x v="17"/>
    <d v="2025-02-10T00:00:00"/>
    <x v="4"/>
    <x v="1"/>
    <n v="500"/>
    <n v="2"/>
    <n v="1000"/>
    <x v="6"/>
    <x v="8"/>
    <x v="1"/>
    <s v="Completed"/>
    <s v="Smartphone"/>
    <s v="Electronics"/>
    <s v="Michael Brown"/>
    <s v="Los Angeles"/>
    <s v="Amazon Pay"/>
    <s v="Completed"/>
    <b v="1"/>
    <x v="1"/>
    <s v="Monday"/>
    <x v="2"/>
  </r>
  <r>
    <x v="18"/>
    <d v="2025-03-22T00:00:00"/>
    <x v="0"/>
    <x v="0"/>
    <n v="60"/>
    <n v="3"/>
    <n v="180"/>
    <x v="3"/>
    <x v="4"/>
    <x v="2"/>
    <s v="Completed"/>
    <s v="Running Shoes"/>
    <s v="Footwear"/>
    <s v="Olivia Wilson"/>
    <s v="Houston"/>
    <s v="Credit Card"/>
    <s v="Completed"/>
    <b v="1"/>
    <x v="0"/>
    <s v="Saturday"/>
    <x v="2"/>
  </r>
  <r>
    <x v="19"/>
    <d v="2025-03-07T00:00:00"/>
    <x v="1"/>
    <x v="1"/>
    <n v="100"/>
    <n v="4"/>
    <n v="400"/>
    <x v="3"/>
    <x v="7"/>
    <x v="0"/>
    <s v="Pending"/>
    <s v="Headphones"/>
    <s v="Electronics"/>
    <s v="Olivia Wilson"/>
    <s v="Seattle"/>
    <s v="Debit Card"/>
    <s v="Pending"/>
    <b v="1"/>
    <x v="0"/>
    <s v="Friday"/>
    <x v="1"/>
  </r>
  <r>
    <x v="20"/>
    <d v="2025-02-05T00:00:00"/>
    <x v="1"/>
    <x v="1"/>
    <n v="100"/>
    <n v="3"/>
    <n v="300"/>
    <x v="8"/>
    <x v="5"/>
    <x v="0"/>
    <s v="Cancelled"/>
    <s v="Headphones"/>
    <s v="Electronics"/>
    <s v="Chris White"/>
    <s v="Miami"/>
    <s v="Debit Card"/>
    <s v="Cancelled"/>
    <b v="1"/>
    <x v="1"/>
    <s v="Wednesday"/>
    <x v="0"/>
  </r>
  <r>
    <x v="21"/>
    <d v="2025-03-07T00:00:00"/>
    <x v="9"/>
    <x v="4"/>
    <n v="1200"/>
    <n v="4"/>
    <n v="4800"/>
    <x v="3"/>
    <x v="4"/>
    <x v="2"/>
    <s v="Pending"/>
    <s v="Refrigerator"/>
    <s v="Home Appliances"/>
    <s v="Olivia Wilson"/>
    <s v="Houston"/>
    <s v="Credit Card"/>
    <s v="Pending"/>
    <b v="1"/>
    <x v="0"/>
    <s v="Friday"/>
    <x v="1"/>
  </r>
  <r>
    <x v="22"/>
    <d v="2025-02-23T00:00:00"/>
    <x v="5"/>
    <x v="3"/>
    <n v="15"/>
    <n v="1"/>
    <n v="15"/>
    <x v="0"/>
    <x v="4"/>
    <x v="2"/>
    <s v="Pending"/>
    <s v="Book"/>
    <s v="Books"/>
    <s v="Emma Clark"/>
    <s v="Houston"/>
    <s v="Credit Card"/>
    <s v="Pending"/>
    <b v="1"/>
    <x v="1"/>
    <s v="Sunday"/>
    <x v="1"/>
  </r>
  <r>
    <x v="23"/>
    <d v="2025-03-24T00:00:00"/>
    <x v="9"/>
    <x v="4"/>
    <n v="1200"/>
    <n v="3"/>
    <n v="3600"/>
    <x v="8"/>
    <x v="3"/>
    <x v="2"/>
    <s v="Cancelled"/>
    <s v="Refrigerator"/>
    <s v="Home Appliances"/>
    <s v="Chris White"/>
    <s v="Dallas"/>
    <s v="Credit Card"/>
    <s v="Cancelled"/>
    <b v="1"/>
    <x v="0"/>
    <s v="Monday"/>
    <x v="0"/>
  </r>
  <r>
    <x v="24"/>
    <d v="2025-03-02T00:00:00"/>
    <x v="5"/>
    <x v="3"/>
    <n v="15"/>
    <n v="5"/>
    <n v="75"/>
    <x v="4"/>
    <x v="7"/>
    <x v="1"/>
    <s v="Completed"/>
    <s v="Book"/>
    <s v="Books"/>
    <s v="Sophia Miller"/>
    <s v="Seattle"/>
    <s v="Amazon Pay"/>
    <s v="Completed"/>
    <b v="1"/>
    <x v="0"/>
    <s v="Sunday"/>
    <x v="2"/>
  </r>
  <r>
    <x v="25"/>
    <d v="2025-02-14T00:00:00"/>
    <x v="8"/>
    <x v="4"/>
    <n v="600"/>
    <n v="1"/>
    <n v="600"/>
    <x v="3"/>
    <x v="6"/>
    <x v="0"/>
    <s v="Cancelled"/>
    <s v="Washing Machine"/>
    <s v="Home Appliances"/>
    <s v="Olivia Wilson"/>
    <s v="Boston"/>
    <s v="Debit Card"/>
    <s v="Cancelled"/>
    <b v="1"/>
    <x v="1"/>
    <s v="Friday"/>
    <x v="0"/>
  </r>
  <r>
    <x v="26"/>
    <d v="2025-02-07T00:00:00"/>
    <x v="3"/>
    <x v="2"/>
    <n v="20"/>
    <n v="1"/>
    <n v="20"/>
    <x v="7"/>
    <x v="0"/>
    <x v="1"/>
    <s v="Pending"/>
    <s v="T-Shirt"/>
    <s v="Clothing"/>
    <s v="Daniel Harris"/>
    <s v="New York"/>
    <s v="Amazon Pay"/>
    <s v="Pending"/>
    <b v="1"/>
    <x v="1"/>
    <s v="Friday"/>
    <x v="1"/>
  </r>
  <r>
    <x v="27"/>
    <d v="2025-02-03T00:00:00"/>
    <x v="1"/>
    <x v="1"/>
    <n v="100"/>
    <n v="1"/>
    <n v="100"/>
    <x v="9"/>
    <x v="9"/>
    <x v="1"/>
    <s v="Completed"/>
    <s v="Headphones"/>
    <s v="Electronics"/>
    <s v="Jane Smith"/>
    <s v="Chicago"/>
    <s v="Amazon Pay"/>
    <s v="Completed"/>
    <b v="1"/>
    <x v="1"/>
    <s v="Monday"/>
    <x v="2"/>
  </r>
  <r>
    <x v="28"/>
    <d v="2025-02-12T00:00:00"/>
    <x v="4"/>
    <x v="1"/>
    <n v="500"/>
    <n v="1"/>
    <n v="500"/>
    <x v="4"/>
    <x v="2"/>
    <x v="2"/>
    <s v="Cancelled"/>
    <s v="Smartphone"/>
    <s v="Electronics"/>
    <s v="Sophia Miller"/>
    <s v="Denver"/>
    <s v="Credit Card"/>
    <s v="Cancelled"/>
    <b v="1"/>
    <x v="1"/>
    <s v="Wednesday"/>
    <x v="0"/>
  </r>
  <r>
    <x v="29"/>
    <d v="2025-02-10T00:00:00"/>
    <x v="8"/>
    <x v="4"/>
    <n v="600"/>
    <n v="3"/>
    <n v="1800"/>
    <x v="1"/>
    <x v="3"/>
    <x v="4"/>
    <s v="Cancelled"/>
    <s v="Washing Machine"/>
    <s v="Home Appliances"/>
    <s v="Emily Johnson"/>
    <s v="Dallas"/>
    <s v="Gift Card"/>
    <s v="Cancelled"/>
    <b v="1"/>
    <x v="1"/>
    <s v="Monday"/>
    <x v="0"/>
  </r>
  <r>
    <x v="30"/>
    <d v="2025-03-24T00:00:00"/>
    <x v="4"/>
    <x v="1"/>
    <n v="500"/>
    <n v="1"/>
    <n v="500"/>
    <x v="2"/>
    <x v="4"/>
    <x v="4"/>
    <s v="Pending"/>
    <s v="Smartphone"/>
    <s v="Electronics"/>
    <s v="John Doe"/>
    <s v="Houston"/>
    <s v="Gift Card"/>
    <s v="Pending"/>
    <b v="1"/>
    <x v="0"/>
    <s v="Monday"/>
    <x v="1"/>
  </r>
  <r>
    <x v="31"/>
    <d v="2025-03-10T00:00:00"/>
    <x v="4"/>
    <x v="1"/>
    <n v="500"/>
    <n v="4"/>
    <n v="2000"/>
    <x v="6"/>
    <x v="7"/>
    <x v="3"/>
    <s v="Pending"/>
    <s v="Smartphone"/>
    <s v="Electronics"/>
    <s v="Michael Brown"/>
    <s v="Seattle"/>
    <s v="Paypal"/>
    <s v="Pending"/>
    <b v="1"/>
    <x v="0"/>
    <s v="Monday"/>
    <x v="1"/>
  </r>
  <r>
    <x v="32"/>
    <d v="2025-02-04T00:00:00"/>
    <x v="5"/>
    <x v="3"/>
    <n v="15"/>
    <n v="1"/>
    <n v="15"/>
    <x v="3"/>
    <x v="0"/>
    <x v="0"/>
    <s v="Cancelled"/>
    <s v="Book"/>
    <s v="Books"/>
    <s v="Olivia Wilson"/>
    <s v="New York"/>
    <s v="Debit Card"/>
    <s v="Cancelled"/>
    <b v="1"/>
    <x v="1"/>
    <s v="Tuesday"/>
    <x v="0"/>
  </r>
  <r>
    <x v="33"/>
    <d v="2025-04-02T00:00:00"/>
    <x v="3"/>
    <x v="2"/>
    <n v="20"/>
    <n v="5"/>
    <n v="100"/>
    <x v="9"/>
    <x v="0"/>
    <x v="2"/>
    <s v="Pending"/>
    <s v="T-Shirt"/>
    <s v="Clothing"/>
    <s v="Jane Smith"/>
    <s v="New York"/>
    <s v="Credit Card"/>
    <s v="Pending"/>
    <b v="1"/>
    <x v="2"/>
    <s v="Wednesday"/>
    <x v="1"/>
  </r>
  <r>
    <x v="34"/>
    <d v="2025-04-02T00:00:00"/>
    <x v="7"/>
    <x v="1"/>
    <n v="800"/>
    <n v="3"/>
    <n v="2400"/>
    <x v="0"/>
    <x v="2"/>
    <x v="1"/>
    <s v="Completed"/>
    <s v="Laptop"/>
    <s v="Electronics"/>
    <s v="Emma Clark"/>
    <s v="Denver"/>
    <s v="Amazon Pay"/>
    <s v="Completed"/>
    <b v="1"/>
    <x v="2"/>
    <s v="Wednesday"/>
    <x v="2"/>
  </r>
  <r>
    <x v="35"/>
    <d v="2025-02-09T00:00:00"/>
    <x v="9"/>
    <x v="4"/>
    <n v="1200"/>
    <n v="2"/>
    <n v="2400"/>
    <x v="4"/>
    <x v="6"/>
    <x v="3"/>
    <s v="Cancelled"/>
    <s v="Refrigerator"/>
    <s v="Home Appliances"/>
    <s v="Sophia Miller"/>
    <s v="Boston"/>
    <s v="Paypal"/>
    <s v="Cancelled"/>
    <b v="1"/>
    <x v="1"/>
    <s v="Sunday"/>
    <x v="0"/>
  </r>
  <r>
    <x v="36"/>
    <d v="2025-02-16T00:00:00"/>
    <x v="1"/>
    <x v="1"/>
    <n v="100"/>
    <n v="3"/>
    <n v="300"/>
    <x v="6"/>
    <x v="0"/>
    <x v="0"/>
    <s v="Cancelled"/>
    <s v="Headphones"/>
    <s v="Electronics"/>
    <s v="Michael Brown"/>
    <s v="New York"/>
    <s v="Debit Card"/>
    <s v="Cancelled"/>
    <b v="1"/>
    <x v="1"/>
    <s v="Sunday"/>
    <x v="0"/>
  </r>
  <r>
    <x v="37"/>
    <d v="2025-03-26T00:00:00"/>
    <x v="7"/>
    <x v="1"/>
    <n v="800"/>
    <n v="3"/>
    <n v="2400"/>
    <x v="3"/>
    <x v="9"/>
    <x v="1"/>
    <s v="Completed"/>
    <s v="Laptop"/>
    <s v="Electronics"/>
    <s v="Olivia Wilson"/>
    <s v="Chicago"/>
    <s v="Amazon Pay"/>
    <s v="Completed"/>
    <b v="1"/>
    <x v="0"/>
    <s v="Wednesday"/>
    <x v="2"/>
  </r>
  <r>
    <x v="38"/>
    <d v="2025-03-02T00:00:00"/>
    <x v="7"/>
    <x v="1"/>
    <n v="800"/>
    <n v="2"/>
    <n v="1600"/>
    <x v="3"/>
    <x v="1"/>
    <x v="3"/>
    <s v="Completed"/>
    <s v="Laptop"/>
    <s v="Electronics"/>
    <s v="Olivia Wilson"/>
    <s v="San Francisco"/>
    <s v="Paypal"/>
    <s v="Completed"/>
    <b v="1"/>
    <x v="0"/>
    <s v="Sunday"/>
    <x v="2"/>
  </r>
  <r>
    <x v="39"/>
    <d v="2025-03-26T00:00:00"/>
    <x v="2"/>
    <x v="1"/>
    <n v="150"/>
    <n v="1"/>
    <n v="150"/>
    <x v="1"/>
    <x v="7"/>
    <x v="4"/>
    <s v="Pending"/>
    <s v="Smartwatch"/>
    <s v="Electronics"/>
    <s v="Emily Johnson"/>
    <s v="Seattle"/>
    <s v="Gift Card"/>
    <s v="Pending"/>
    <b v="1"/>
    <x v="0"/>
    <s v="Wednesday"/>
    <x v="1"/>
  </r>
  <r>
    <x v="40"/>
    <d v="2025-02-20T00:00:00"/>
    <x v="5"/>
    <x v="3"/>
    <n v="15"/>
    <n v="1"/>
    <n v="15"/>
    <x v="9"/>
    <x v="5"/>
    <x v="2"/>
    <s v="Cancelled"/>
    <s v="Book"/>
    <s v="Books"/>
    <s v="Jane Smith"/>
    <s v="Miami"/>
    <s v="Credit Card"/>
    <s v="Cancelled"/>
    <b v="1"/>
    <x v="1"/>
    <s v="Thursday"/>
    <x v="0"/>
  </r>
  <r>
    <x v="41"/>
    <d v="2025-03-17T00:00:00"/>
    <x v="1"/>
    <x v="1"/>
    <n v="100"/>
    <n v="3"/>
    <n v="300"/>
    <x v="9"/>
    <x v="9"/>
    <x v="1"/>
    <s v="Cancelled"/>
    <s v="Headphones"/>
    <s v="Electronics"/>
    <s v="Jane Smith"/>
    <s v="Chicago"/>
    <s v="Amazon Pay"/>
    <s v="Cancelled"/>
    <b v="1"/>
    <x v="0"/>
    <s v="Monday"/>
    <x v="0"/>
  </r>
  <r>
    <x v="42"/>
    <d v="2025-02-08T00:00:00"/>
    <x v="3"/>
    <x v="2"/>
    <n v="20"/>
    <n v="4"/>
    <n v="80"/>
    <x v="9"/>
    <x v="2"/>
    <x v="2"/>
    <s v="Pending"/>
    <s v="T-Shirt"/>
    <s v="Clothing"/>
    <s v="Jane Smith"/>
    <s v="Denver"/>
    <s v="Credit Card"/>
    <s v="Pending"/>
    <b v="1"/>
    <x v="1"/>
    <s v="Saturday"/>
    <x v="1"/>
  </r>
  <r>
    <x v="43"/>
    <d v="2025-03-24T00:00:00"/>
    <x v="2"/>
    <x v="1"/>
    <n v="150"/>
    <n v="1"/>
    <n v="150"/>
    <x v="8"/>
    <x v="4"/>
    <x v="0"/>
    <s v="Pending"/>
    <s v="Smartwatch"/>
    <s v="Electronics"/>
    <s v="Chris White"/>
    <s v="Houston"/>
    <s v="Debit Card"/>
    <s v="Pending"/>
    <b v="1"/>
    <x v="0"/>
    <s v="Monday"/>
    <x v="1"/>
  </r>
  <r>
    <x v="44"/>
    <d v="2025-03-15T00:00:00"/>
    <x v="9"/>
    <x v="4"/>
    <n v="1200"/>
    <n v="3"/>
    <n v="3600"/>
    <x v="7"/>
    <x v="0"/>
    <x v="2"/>
    <s v="Pending"/>
    <s v="Refrigerator"/>
    <s v="Home Appliances"/>
    <s v="Daniel Harris"/>
    <s v="New York"/>
    <s v="Credit Card"/>
    <s v="Pending"/>
    <b v="1"/>
    <x v="0"/>
    <s v="Saturday"/>
    <x v="1"/>
  </r>
  <r>
    <x v="45"/>
    <d v="2025-03-06T00:00:00"/>
    <x v="0"/>
    <x v="0"/>
    <n v="60"/>
    <n v="2"/>
    <n v="120"/>
    <x v="5"/>
    <x v="4"/>
    <x v="0"/>
    <s v="Cancelled"/>
    <s v="Running Shoes"/>
    <s v="Footwear"/>
    <s v="David Lee"/>
    <s v="Houston"/>
    <s v="Debit Card"/>
    <s v="Cancelled"/>
    <b v="1"/>
    <x v="0"/>
    <s v="Thursday"/>
    <x v="0"/>
  </r>
  <r>
    <x v="46"/>
    <d v="2025-03-26T00:00:00"/>
    <x v="3"/>
    <x v="2"/>
    <n v="20"/>
    <n v="2"/>
    <n v="40"/>
    <x v="8"/>
    <x v="5"/>
    <x v="4"/>
    <s v="Cancelled"/>
    <s v="T-Shirt"/>
    <s v="Clothing"/>
    <s v="Chris White"/>
    <s v="Miami"/>
    <s v="Gift Card"/>
    <s v="Cancelled"/>
    <b v="1"/>
    <x v="0"/>
    <s v="Wednesday"/>
    <x v="0"/>
  </r>
  <r>
    <x v="47"/>
    <d v="2025-02-11T00:00:00"/>
    <x v="3"/>
    <x v="2"/>
    <n v="20"/>
    <n v="5"/>
    <n v="100"/>
    <x v="9"/>
    <x v="2"/>
    <x v="1"/>
    <s v="Completed"/>
    <s v="T-Shirt"/>
    <s v="Clothing"/>
    <s v="Jane Smith"/>
    <s v="Denver"/>
    <s v="Amazon Pay"/>
    <s v="Completed"/>
    <b v="1"/>
    <x v="1"/>
    <s v="Tuesday"/>
    <x v="2"/>
  </r>
  <r>
    <x v="48"/>
    <d v="2025-02-18T00:00:00"/>
    <x v="4"/>
    <x v="1"/>
    <n v="500"/>
    <n v="4"/>
    <n v="2000"/>
    <x v="0"/>
    <x v="9"/>
    <x v="0"/>
    <s v="Completed"/>
    <s v="Smartphone"/>
    <s v="Electronics"/>
    <s v="Emma Clark"/>
    <s v="Chicago"/>
    <s v="Debit Card"/>
    <s v="Completed"/>
    <b v="1"/>
    <x v="1"/>
    <s v="Tuesday"/>
    <x v="2"/>
  </r>
  <r>
    <x v="49"/>
    <d v="2025-03-14T00:00:00"/>
    <x v="6"/>
    <x v="2"/>
    <n v="40"/>
    <n v="3"/>
    <n v="120"/>
    <x v="2"/>
    <x v="6"/>
    <x v="4"/>
    <s v="Completed"/>
    <s v="Jeans"/>
    <s v="Clothing"/>
    <s v="John Doe"/>
    <s v="Boston"/>
    <s v="Gift Card"/>
    <s v="Completed"/>
    <b v="1"/>
    <x v="0"/>
    <s v="Friday"/>
    <x v="2"/>
  </r>
  <r>
    <x v="50"/>
    <d v="2025-02-19T00:00:00"/>
    <x v="5"/>
    <x v="3"/>
    <n v="15"/>
    <n v="1"/>
    <n v="15"/>
    <x v="0"/>
    <x v="4"/>
    <x v="4"/>
    <s v="Cancelled"/>
    <s v="Book"/>
    <s v="Books"/>
    <s v="Emma Clark"/>
    <s v="Houston"/>
    <s v="Gift Card"/>
    <s v="Cancelled"/>
    <b v="1"/>
    <x v="1"/>
    <s v="Wednesday"/>
    <x v="0"/>
  </r>
  <r>
    <x v="51"/>
    <d v="2025-02-24T00:00:00"/>
    <x v="7"/>
    <x v="1"/>
    <n v="800"/>
    <n v="3"/>
    <n v="2400"/>
    <x v="2"/>
    <x v="1"/>
    <x v="2"/>
    <s v="Pending"/>
    <s v="Laptop"/>
    <s v="Electronics"/>
    <s v="John Doe"/>
    <s v="San Francisco"/>
    <s v="Credit Card"/>
    <s v="Pending"/>
    <b v="1"/>
    <x v="1"/>
    <s v="Monday"/>
    <x v="1"/>
  </r>
  <r>
    <x v="52"/>
    <d v="2025-03-24T00:00:00"/>
    <x v="0"/>
    <x v="0"/>
    <n v="60"/>
    <n v="4"/>
    <n v="240"/>
    <x v="1"/>
    <x v="8"/>
    <x v="3"/>
    <s v="Completed"/>
    <s v="Running Shoes"/>
    <s v="Footwear"/>
    <s v="Emily Johnson"/>
    <s v="Los Angeles"/>
    <s v="Paypal"/>
    <s v="Completed"/>
    <b v="1"/>
    <x v="0"/>
    <s v="Monday"/>
    <x v="2"/>
  </r>
  <r>
    <x v="53"/>
    <d v="2025-03-15T00:00:00"/>
    <x v="2"/>
    <x v="1"/>
    <n v="150"/>
    <n v="3"/>
    <n v="450"/>
    <x v="5"/>
    <x v="6"/>
    <x v="4"/>
    <s v="Pending"/>
    <s v="Smartwatch"/>
    <s v="Electronics"/>
    <s v="David Lee"/>
    <s v="Boston"/>
    <s v="Gift Card"/>
    <s v="Pending"/>
    <b v="1"/>
    <x v="0"/>
    <s v="Saturday"/>
    <x v="1"/>
  </r>
  <r>
    <x v="54"/>
    <d v="2025-03-15T00:00:00"/>
    <x v="6"/>
    <x v="2"/>
    <n v="40"/>
    <n v="2"/>
    <n v="80"/>
    <x v="4"/>
    <x v="3"/>
    <x v="3"/>
    <s v="Completed"/>
    <s v="Jeans"/>
    <s v="Clothing"/>
    <s v="Sophia Miller"/>
    <s v="Dallas"/>
    <s v="Paypal"/>
    <s v="Completed"/>
    <b v="1"/>
    <x v="0"/>
    <s v="Saturday"/>
    <x v="2"/>
  </r>
  <r>
    <x v="55"/>
    <d v="2025-03-19T00:00:00"/>
    <x v="2"/>
    <x v="1"/>
    <n v="150"/>
    <n v="2"/>
    <n v="300"/>
    <x v="0"/>
    <x v="3"/>
    <x v="2"/>
    <s v="Completed"/>
    <s v="Smartwatch"/>
    <s v="Electronics"/>
    <s v="Emma Clark"/>
    <s v="Dallas"/>
    <s v="Credit Card"/>
    <s v="Completed"/>
    <b v="1"/>
    <x v="0"/>
    <s v="Wednesday"/>
    <x v="2"/>
  </r>
  <r>
    <x v="56"/>
    <d v="2025-03-15T00:00:00"/>
    <x v="4"/>
    <x v="1"/>
    <n v="500"/>
    <n v="1"/>
    <n v="500"/>
    <x v="9"/>
    <x v="8"/>
    <x v="0"/>
    <s v="Cancelled"/>
    <s v="Smartphone"/>
    <s v="Electronics"/>
    <s v="Jane Smith"/>
    <s v="Los Angeles"/>
    <s v="Debit Card"/>
    <s v="Cancelled"/>
    <b v="1"/>
    <x v="0"/>
    <s v="Saturday"/>
    <x v="0"/>
  </r>
  <r>
    <x v="57"/>
    <d v="2025-03-13T00:00:00"/>
    <x v="4"/>
    <x v="1"/>
    <n v="500"/>
    <n v="1"/>
    <n v="500"/>
    <x v="9"/>
    <x v="9"/>
    <x v="3"/>
    <s v="Cancelled"/>
    <s v="Smartphone"/>
    <s v="Electronics"/>
    <s v="Jane Smith"/>
    <s v="Chicago"/>
    <s v="Paypal"/>
    <s v="Cancelled"/>
    <b v="1"/>
    <x v="0"/>
    <s v="Thursday"/>
    <x v="0"/>
  </r>
  <r>
    <x v="58"/>
    <d v="2025-04-01T00:00:00"/>
    <x v="2"/>
    <x v="1"/>
    <n v="150"/>
    <n v="2"/>
    <n v="300"/>
    <x v="7"/>
    <x v="3"/>
    <x v="2"/>
    <s v="Cancelled"/>
    <s v="Smartwatch"/>
    <s v="Electronics"/>
    <s v="Daniel Harris"/>
    <s v="Dallas"/>
    <s v="Credit Card"/>
    <s v="Cancelled"/>
    <b v="1"/>
    <x v="2"/>
    <s v="Tuesday"/>
    <x v="0"/>
  </r>
  <r>
    <x v="59"/>
    <d v="2025-03-12T00:00:00"/>
    <x v="5"/>
    <x v="3"/>
    <n v="15"/>
    <n v="5"/>
    <n v="75"/>
    <x v="9"/>
    <x v="3"/>
    <x v="2"/>
    <s v="Pending"/>
    <s v="Book"/>
    <s v="Books"/>
    <s v="Jane Smith"/>
    <s v="Dallas"/>
    <s v="Credit Card"/>
    <s v="Pending"/>
    <b v="1"/>
    <x v="0"/>
    <s v="Wednesday"/>
    <x v="1"/>
  </r>
  <r>
    <x v="60"/>
    <d v="2025-03-11T00:00:00"/>
    <x v="9"/>
    <x v="4"/>
    <n v="1200"/>
    <n v="1"/>
    <n v="1200"/>
    <x v="9"/>
    <x v="0"/>
    <x v="3"/>
    <s v="Cancelled"/>
    <s v="Refrigerator"/>
    <s v="Home Appliances"/>
    <s v="Jane Smith"/>
    <s v="New York"/>
    <s v="Paypal"/>
    <s v="Cancelled"/>
    <b v="1"/>
    <x v="0"/>
    <s v="Tuesday"/>
    <x v="0"/>
  </r>
  <r>
    <x v="61"/>
    <d v="2025-02-10T00:00:00"/>
    <x v="7"/>
    <x v="1"/>
    <n v="800"/>
    <n v="5"/>
    <n v="4000"/>
    <x v="3"/>
    <x v="1"/>
    <x v="3"/>
    <s v="Completed"/>
    <s v="Laptop"/>
    <s v="Electronics"/>
    <s v="Olivia Wilson"/>
    <s v="San Francisco"/>
    <s v="Paypal"/>
    <s v="Completed"/>
    <b v="1"/>
    <x v="1"/>
    <s v="Monday"/>
    <x v="2"/>
  </r>
  <r>
    <x v="62"/>
    <d v="2025-03-30T00:00:00"/>
    <x v="4"/>
    <x v="1"/>
    <n v="500"/>
    <n v="5"/>
    <n v="2500"/>
    <x v="0"/>
    <x v="5"/>
    <x v="4"/>
    <s v="Completed"/>
    <s v="Smartphone"/>
    <s v="Electronics"/>
    <s v="Emma Clark"/>
    <s v="Miami"/>
    <s v="Gift Card"/>
    <s v="Completed"/>
    <b v="1"/>
    <x v="0"/>
    <s v="Sunday"/>
    <x v="2"/>
  </r>
  <r>
    <x v="63"/>
    <d v="2025-02-13T00:00:00"/>
    <x v="9"/>
    <x v="4"/>
    <n v="1200"/>
    <n v="4"/>
    <n v="4800"/>
    <x v="1"/>
    <x v="2"/>
    <x v="3"/>
    <s v="Pending"/>
    <s v="Refrigerator"/>
    <s v="Home Appliances"/>
    <s v="Emily Johnson"/>
    <s v="Denver"/>
    <s v="Paypal"/>
    <s v="Pending"/>
    <b v="1"/>
    <x v="1"/>
    <s v="Thursday"/>
    <x v="1"/>
  </r>
  <r>
    <x v="64"/>
    <d v="2025-03-16T00:00:00"/>
    <x v="5"/>
    <x v="3"/>
    <n v="15"/>
    <n v="3"/>
    <n v="45"/>
    <x v="0"/>
    <x v="1"/>
    <x v="1"/>
    <s v="Pending"/>
    <s v="Book"/>
    <s v="Books"/>
    <s v="Emma Clark"/>
    <s v="San Francisco"/>
    <s v="Amazon Pay"/>
    <s v="Pending"/>
    <b v="1"/>
    <x v="0"/>
    <s v="Sunday"/>
    <x v="1"/>
  </r>
  <r>
    <x v="65"/>
    <d v="2025-03-14T00:00:00"/>
    <x v="2"/>
    <x v="1"/>
    <n v="150"/>
    <n v="2"/>
    <n v="300"/>
    <x v="6"/>
    <x v="2"/>
    <x v="3"/>
    <s v="Pending"/>
    <s v="Smartwatch"/>
    <s v="Electronics"/>
    <s v="Michael Brown"/>
    <s v="Denver"/>
    <s v="Paypal"/>
    <s v="Pending"/>
    <b v="1"/>
    <x v="0"/>
    <s v="Friday"/>
    <x v="1"/>
  </r>
  <r>
    <x v="66"/>
    <d v="2025-03-31T00:00:00"/>
    <x v="1"/>
    <x v="1"/>
    <n v="100"/>
    <n v="3"/>
    <n v="300"/>
    <x v="8"/>
    <x v="0"/>
    <x v="0"/>
    <s v="Pending"/>
    <s v="Headphones"/>
    <s v="Electronics"/>
    <s v="Chris White"/>
    <s v="New York"/>
    <s v="Debit Card"/>
    <s v="Pending"/>
    <b v="1"/>
    <x v="0"/>
    <s v="Monday"/>
    <x v="1"/>
  </r>
  <r>
    <x v="67"/>
    <d v="2025-02-23T00:00:00"/>
    <x v="1"/>
    <x v="1"/>
    <n v="100"/>
    <n v="1"/>
    <n v="100"/>
    <x v="5"/>
    <x v="4"/>
    <x v="0"/>
    <s v="Cancelled"/>
    <s v="Headphones"/>
    <s v="Electronics"/>
    <s v="David Lee"/>
    <s v="Houston"/>
    <s v="Debit Card"/>
    <s v="Cancelled"/>
    <b v="1"/>
    <x v="1"/>
    <s v="Sunday"/>
    <x v="0"/>
  </r>
  <r>
    <x v="68"/>
    <d v="2025-02-25T00:00:00"/>
    <x v="9"/>
    <x v="4"/>
    <n v="1200"/>
    <n v="4"/>
    <n v="4800"/>
    <x v="5"/>
    <x v="6"/>
    <x v="4"/>
    <s v="Pending"/>
    <s v="Refrigerator"/>
    <s v="Home Appliances"/>
    <s v="David Lee"/>
    <s v="Boston"/>
    <s v="Gift Card"/>
    <s v="Pending"/>
    <b v="1"/>
    <x v="1"/>
    <s v="Tuesday"/>
    <x v="1"/>
  </r>
  <r>
    <x v="69"/>
    <d v="2025-03-10T00:00:00"/>
    <x v="5"/>
    <x v="3"/>
    <n v="15"/>
    <n v="1"/>
    <n v="15"/>
    <x v="1"/>
    <x v="6"/>
    <x v="2"/>
    <s v="Completed"/>
    <s v="Book"/>
    <s v="Books"/>
    <s v="Emily Johnson"/>
    <s v="Boston"/>
    <s v="Credit Card"/>
    <s v="Completed"/>
    <b v="1"/>
    <x v="0"/>
    <s v="Monday"/>
    <x v="2"/>
  </r>
  <r>
    <x v="70"/>
    <d v="2025-03-16T00:00:00"/>
    <x v="2"/>
    <x v="1"/>
    <n v="150"/>
    <n v="5"/>
    <n v="750"/>
    <x v="2"/>
    <x v="2"/>
    <x v="2"/>
    <s v="Pending"/>
    <s v="Smartwatch"/>
    <s v="Electronics"/>
    <s v="John Doe"/>
    <s v="Denver"/>
    <s v="Credit Card"/>
    <s v="Pending"/>
    <b v="1"/>
    <x v="0"/>
    <s v="Sunday"/>
    <x v="1"/>
  </r>
  <r>
    <x v="71"/>
    <d v="2025-03-07T00:00:00"/>
    <x v="7"/>
    <x v="1"/>
    <n v="800"/>
    <n v="3"/>
    <n v="2400"/>
    <x v="7"/>
    <x v="4"/>
    <x v="2"/>
    <s v="Pending"/>
    <s v="Laptop"/>
    <s v="Electronics"/>
    <s v="Daniel Harris"/>
    <s v="Houston"/>
    <s v="Credit Card"/>
    <s v="Pending"/>
    <b v="1"/>
    <x v="0"/>
    <s v="Friday"/>
    <x v="1"/>
  </r>
  <r>
    <x v="72"/>
    <d v="2025-02-20T00:00:00"/>
    <x v="4"/>
    <x v="1"/>
    <n v="500"/>
    <n v="5"/>
    <n v="2500"/>
    <x v="1"/>
    <x v="5"/>
    <x v="2"/>
    <s v="Cancelled"/>
    <s v="Smartphone"/>
    <s v="Electronics"/>
    <s v="Emily Johnson"/>
    <s v="Miami"/>
    <s v="Credit Card"/>
    <s v="Cancelled"/>
    <b v="1"/>
    <x v="1"/>
    <s v="Thursday"/>
    <x v="0"/>
  </r>
  <r>
    <x v="73"/>
    <d v="2025-03-25T00:00:00"/>
    <x v="9"/>
    <x v="4"/>
    <n v="1200"/>
    <n v="4"/>
    <n v="4800"/>
    <x v="9"/>
    <x v="3"/>
    <x v="4"/>
    <s v="Cancelled"/>
    <s v="Refrigerator"/>
    <s v="Home Appliances"/>
    <s v="Jane Smith"/>
    <s v="Dallas"/>
    <s v="Gift Card"/>
    <s v="Cancelled"/>
    <b v="1"/>
    <x v="0"/>
    <s v="Tuesday"/>
    <x v="0"/>
  </r>
  <r>
    <x v="74"/>
    <d v="2025-02-26T00:00:00"/>
    <x v="1"/>
    <x v="1"/>
    <n v="100"/>
    <n v="2"/>
    <n v="200"/>
    <x v="7"/>
    <x v="6"/>
    <x v="3"/>
    <s v="Pending"/>
    <s v="Headphones"/>
    <s v="Electronics"/>
    <s v="Daniel Harris"/>
    <s v="Boston"/>
    <s v="Paypal"/>
    <s v="Pending"/>
    <b v="1"/>
    <x v="1"/>
    <s v="Wednesday"/>
    <x v="1"/>
  </r>
  <r>
    <x v="75"/>
    <d v="2025-02-24T00:00:00"/>
    <x v="8"/>
    <x v="4"/>
    <n v="600"/>
    <n v="1"/>
    <n v="600"/>
    <x v="9"/>
    <x v="3"/>
    <x v="1"/>
    <s v="Completed"/>
    <s v="Washing Machine"/>
    <s v="Home Appliances"/>
    <s v="Jane Smith"/>
    <s v="Dallas"/>
    <s v="Amazon Pay"/>
    <s v="Completed"/>
    <b v="1"/>
    <x v="1"/>
    <s v="Monday"/>
    <x v="2"/>
  </r>
  <r>
    <x v="76"/>
    <d v="2025-03-20T00:00:00"/>
    <x v="1"/>
    <x v="1"/>
    <n v="100"/>
    <n v="2"/>
    <n v="200"/>
    <x v="7"/>
    <x v="4"/>
    <x v="2"/>
    <s v="Completed"/>
    <s v="Headphones"/>
    <s v="Electronics"/>
    <s v="Daniel Harris"/>
    <s v="Houston"/>
    <s v="Credit Card"/>
    <s v="Completed"/>
    <b v="1"/>
    <x v="0"/>
    <s v="Thursday"/>
    <x v="2"/>
  </r>
  <r>
    <x v="77"/>
    <d v="2025-03-18T00:00:00"/>
    <x v="2"/>
    <x v="1"/>
    <n v="150"/>
    <n v="2"/>
    <n v="300"/>
    <x v="0"/>
    <x v="8"/>
    <x v="4"/>
    <s v="Cancelled"/>
    <s v="Smartwatch"/>
    <s v="Electronics"/>
    <s v="Emma Clark"/>
    <s v="Los Angeles"/>
    <s v="Gift Card"/>
    <s v="Cancelled"/>
    <b v="1"/>
    <x v="0"/>
    <s v="Tuesday"/>
    <x v="0"/>
  </r>
  <r>
    <x v="78"/>
    <d v="2025-03-09T00:00:00"/>
    <x v="0"/>
    <x v="0"/>
    <n v="60"/>
    <n v="2"/>
    <n v="120"/>
    <x v="1"/>
    <x v="2"/>
    <x v="4"/>
    <s v="Cancelled"/>
    <s v="Running Shoes"/>
    <s v="Footwear"/>
    <s v="Emily Johnson"/>
    <s v="Denver"/>
    <s v="Gift Card"/>
    <s v="Cancelled"/>
    <b v="1"/>
    <x v="0"/>
    <s v="Sunday"/>
    <x v="0"/>
  </r>
  <r>
    <x v="79"/>
    <d v="2025-02-23T00:00:00"/>
    <x v="0"/>
    <x v="0"/>
    <n v="60"/>
    <n v="4"/>
    <n v="240"/>
    <x v="4"/>
    <x v="1"/>
    <x v="0"/>
    <s v="Pending"/>
    <s v="Running Shoes"/>
    <s v="Footwear"/>
    <s v="Sophia Miller"/>
    <s v="San Francisco"/>
    <s v="Debit Card"/>
    <s v="Pending"/>
    <b v="1"/>
    <x v="1"/>
    <s v="Sunday"/>
    <x v="1"/>
  </r>
  <r>
    <x v="80"/>
    <d v="2025-02-26T00:00:00"/>
    <x v="1"/>
    <x v="1"/>
    <n v="100"/>
    <n v="3"/>
    <n v="300"/>
    <x v="6"/>
    <x v="9"/>
    <x v="3"/>
    <s v="Cancelled"/>
    <s v="Headphones"/>
    <s v="Electronics"/>
    <s v="Michael Brown"/>
    <s v="Chicago"/>
    <s v="Paypal"/>
    <s v="Cancelled"/>
    <b v="1"/>
    <x v="1"/>
    <s v="Wednesday"/>
    <x v="0"/>
  </r>
  <r>
    <x v="81"/>
    <d v="2025-02-24T00:00:00"/>
    <x v="4"/>
    <x v="1"/>
    <n v="500"/>
    <n v="3"/>
    <n v="1500"/>
    <x v="9"/>
    <x v="7"/>
    <x v="0"/>
    <s v="Cancelled"/>
    <s v="Smartphone"/>
    <s v="Electronics"/>
    <s v="Jane Smith"/>
    <s v="Seattle"/>
    <s v="Debit Card"/>
    <s v="Cancelled"/>
    <b v="1"/>
    <x v="1"/>
    <s v="Monday"/>
    <x v="0"/>
  </r>
  <r>
    <x v="82"/>
    <d v="2025-02-28T00:00:00"/>
    <x v="8"/>
    <x v="4"/>
    <n v="600"/>
    <n v="4"/>
    <n v="2400"/>
    <x v="0"/>
    <x v="4"/>
    <x v="4"/>
    <s v="Cancelled"/>
    <s v="Washing Machine"/>
    <s v="Home Appliances"/>
    <s v="Emma Clark"/>
    <s v="Houston"/>
    <s v="Gift Card"/>
    <s v="Cancelled"/>
    <b v="1"/>
    <x v="1"/>
    <s v="Friday"/>
    <x v="0"/>
  </r>
  <r>
    <x v="83"/>
    <d v="2025-02-14T00:00:00"/>
    <x v="3"/>
    <x v="2"/>
    <n v="20"/>
    <n v="5"/>
    <n v="100"/>
    <x v="3"/>
    <x v="6"/>
    <x v="3"/>
    <s v="Completed"/>
    <s v="T-Shirt"/>
    <s v="Clothing"/>
    <s v="Olivia Wilson"/>
    <s v="Boston"/>
    <s v="Paypal"/>
    <s v="Completed"/>
    <b v="1"/>
    <x v="1"/>
    <s v="Friday"/>
    <x v="2"/>
  </r>
  <r>
    <x v="84"/>
    <d v="2025-02-06T00:00:00"/>
    <x v="4"/>
    <x v="1"/>
    <n v="500"/>
    <n v="5"/>
    <n v="2500"/>
    <x v="6"/>
    <x v="4"/>
    <x v="3"/>
    <s v="Completed"/>
    <s v="Smartphone"/>
    <s v="Electronics"/>
    <s v="Michael Brown"/>
    <s v="Houston"/>
    <s v="Paypal"/>
    <s v="Completed"/>
    <b v="1"/>
    <x v="1"/>
    <s v="Thursday"/>
    <x v="2"/>
  </r>
  <r>
    <x v="85"/>
    <d v="2025-02-25T00:00:00"/>
    <x v="2"/>
    <x v="1"/>
    <n v="150"/>
    <n v="5"/>
    <n v="750"/>
    <x v="9"/>
    <x v="3"/>
    <x v="3"/>
    <s v="Cancelled"/>
    <s v="Smartwatch"/>
    <s v="Electronics"/>
    <s v="Jane Smith"/>
    <s v="Dallas"/>
    <s v="Paypal"/>
    <s v="Cancelled"/>
    <b v="1"/>
    <x v="1"/>
    <s v="Tuesday"/>
    <x v="0"/>
  </r>
  <r>
    <x v="86"/>
    <d v="2025-03-13T00:00:00"/>
    <x v="0"/>
    <x v="0"/>
    <n v="60"/>
    <n v="5"/>
    <n v="300"/>
    <x v="0"/>
    <x v="5"/>
    <x v="0"/>
    <s v="Completed"/>
    <s v="Running Shoes"/>
    <s v="Footwear"/>
    <s v="Emma Clark"/>
    <s v="Miami"/>
    <s v="Debit Card"/>
    <s v="Completed"/>
    <b v="1"/>
    <x v="0"/>
    <s v="Thursday"/>
    <x v="2"/>
  </r>
  <r>
    <x v="87"/>
    <d v="2025-02-06T00:00:00"/>
    <x v="9"/>
    <x v="4"/>
    <n v="1200"/>
    <n v="2"/>
    <n v="2400"/>
    <x v="8"/>
    <x v="7"/>
    <x v="0"/>
    <s v="Pending"/>
    <s v="Refrigerator"/>
    <s v="Home Appliances"/>
    <s v="Chris White"/>
    <s v="Seattle"/>
    <s v="Debit Card"/>
    <s v="Pending"/>
    <b v="1"/>
    <x v="1"/>
    <s v="Thursday"/>
    <x v="1"/>
  </r>
  <r>
    <x v="88"/>
    <d v="2025-03-26T00:00:00"/>
    <x v="0"/>
    <x v="0"/>
    <n v="60"/>
    <n v="5"/>
    <n v="300"/>
    <x v="0"/>
    <x v="8"/>
    <x v="2"/>
    <s v="Cancelled"/>
    <s v="Running Shoes"/>
    <s v="Footwear"/>
    <s v="Emma Clark"/>
    <s v="Los Angeles"/>
    <s v="Credit Card"/>
    <s v="Cancelled"/>
    <b v="1"/>
    <x v="0"/>
    <s v="Wednesday"/>
    <x v="0"/>
  </r>
  <r>
    <x v="89"/>
    <d v="2025-03-24T00:00:00"/>
    <x v="2"/>
    <x v="1"/>
    <n v="150"/>
    <n v="5"/>
    <n v="750"/>
    <x v="1"/>
    <x v="4"/>
    <x v="1"/>
    <s v="Completed"/>
    <s v="Smartwatch"/>
    <s v="Electronics"/>
    <s v="Emily Johnson"/>
    <s v="Houston"/>
    <s v="Amazon Pay"/>
    <s v="Completed"/>
    <b v="1"/>
    <x v="0"/>
    <s v="Monday"/>
    <x v="2"/>
  </r>
  <r>
    <x v="90"/>
    <d v="2025-02-03T00:00:00"/>
    <x v="7"/>
    <x v="1"/>
    <n v="800"/>
    <n v="4"/>
    <n v="3200"/>
    <x v="7"/>
    <x v="4"/>
    <x v="4"/>
    <s v="Pending"/>
    <s v="Laptop"/>
    <s v="Electronics"/>
    <s v="Daniel Harris"/>
    <s v="Houston"/>
    <s v="Gift Card"/>
    <s v="Pending"/>
    <b v="1"/>
    <x v="1"/>
    <s v="Monday"/>
    <x v="1"/>
  </r>
  <r>
    <x v="91"/>
    <d v="2025-03-15T00:00:00"/>
    <x v="4"/>
    <x v="1"/>
    <n v="500"/>
    <n v="2"/>
    <n v="1000"/>
    <x v="3"/>
    <x v="6"/>
    <x v="3"/>
    <s v="Cancelled"/>
    <s v="Smartphone"/>
    <s v="Electronics"/>
    <s v="Olivia Wilson"/>
    <s v="Boston"/>
    <s v="Paypal"/>
    <s v="Cancelled"/>
    <b v="1"/>
    <x v="0"/>
    <s v="Saturday"/>
    <x v="0"/>
  </r>
  <r>
    <x v="92"/>
    <d v="2025-03-06T00:00:00"/>
    <x v="9"/>
    <x v="4"/>
    <n v="1200"/>
    <n v="5"/>
    <n v="6000"/>
    <x v="5"/>
    <x v="2"/>
    <x v="3"/>
    <s v="Cancelled"/>
    <s v="Refrigerator"/>
    <s v="Home Appliances"/>
    <s v="David Lee"/>
    <s v="Denver"/>
    <s v="Paypal"/>
    <s v="Cancelled"/>
    <b v="1"/>
    <x v="0"/>
    <s v="Thursday"/>
    <x v="0"/>
  </r>
  <r>
    <x v="93"/>
    <d v="2025-03-25T00:00:00"/>
    <x v="6"/>
    <x v="2"/>
    <n v="40"/>
    <n v="5"/>
    <n v="200"/>
    <x v="7"/>
    <x v="7"/>
    <x v="2"/>
    <s v="Cancelled"/>
    <s v="Jeans"/>
    <s v="Clothing"/>
    <s v="Daniel Harris"/>
    <s v="Seattle"/>
    <s v="Credit Card"/>
    <s v="Cancelled"/>
    <b v="1"/>
    <x v="0"/>
    <s v="Tuesday"/>
    <x v="0"/>
  </r>
  <r>
    <x v="94"/>
    <d v="2025-02-17T00:00:00"/>
    <x v="2"/>
    <x v="1"/>
    <n v="150"/>
    <n v="4"/>
    <n v="600"/>
    <x v="8"/>
    <x v="0"/>
    <x v="0"/>
    <s v="Cancelled"/>
    <s v="Smartwatch"/>
    <s v="Electronics"/>
    <s v="Chris White"/>
    <s v="New York"/>
    <s v="Debit Card"/>
    <s v="Cancelled"/>
    <b v="1"/>
    <x v="1"/>
    <s v="Monday"/>
    <x v="0"/>
  </r>
  <r>
    <x v="95"/>
    <d v="2025-03-30T00:00:00"/>
    <x v="2"/>
    <x v="1"/>
    <n v="150"/>
    <n v="3"/>
    <n v="450"/>
    <x v="9"/>
    <x v="0"/>
    <x v="1"/>
    <s v="Completed"/>
    <s v="Smartwatch"/>
    <s v="Electronics"/>
    <s v="Jane Smith"/>
    <s v="New York"/>
    <s v="Amazon Pay"/>
    <s v="Completed"/>
    <b v="1"/>
    <x v="0"/>
    <s v="Sunday"/>
    <x v="2"/>
  </r>
  <r>
    <x v="96"/>
    <d v="2025-03-25T00:00:00"/>
    <x v="5"/>
    <x v="3"/>
    <n v="15"/>
    <n v="5"/>
    <n v="75"/>
    <x v="3"/>
    <x v="9"/>
    <x v="1"/>
    <s v="Pending"/>
    <s v="Book"/>
    <s v="Books"/>
    <s v="Olivia Wilson"/>
    <s v="Chicago"/>
    <s v="Amazon Pay"/>
    <s v="Pending"/>
    <b v="1"/>
    <x v="0"/>
    <s v="Tuesday"/>
    <x v="1"/>
  </r>
  <r>
    <x v="97"/>
    <d v="2025-02-14T00:00:00"/>
    <x v="2"/>
    <x v="1"/>
    <n v="150"/>
    <n v="2"/>
    <n v="300"/>
    <x v="8"/>
    <x v="5"/>
    <x v="3"/>
    <s v="Pending"/>
    <s v="Smartwatch"/>
    <s v="Electronics"/>
    <s v="Chris White"/>
    <s v="Miami"/>
    <s v="Paypal"/>
    <s v="Pending"/>
    <b v="1"/>
    <x v="1"/>
    <s v="Friday"/>
    <x v="1"/>
  </r>
  <r>
    <x v="98"/>
    <d v="2025-02-18T00:00:00"/>
    <x v="8"/>
    <x v="4"/>
    <n v="600"/>
    <n v="5"/>
    <n v="3000"/>
    <x v="6"/>
    <x v="7"/>
    <x v="0"/>
    <s v="Completed"/>
    <s v="Washing Machine"/>
    <s v="Home Appliances"/>
    <s v="Michael Brown"/>
    <s v="Seattle"/>
    <s v="Debit Card"/>
    <s v="Completed"/>
    <b v="1"/>
    <x v="1"/>
    <s v="Tuesday"/>
    <x v="2"/>
  </r>
  <r>
    <x v="99"/>
    <d v="2025-02-13T00:00:00"/>
    <x v="0"/>
    <x v="0"/>
    <n v="60"/>
    <n v="1"/>
    <n v="60"/>
    <x v="9"/>
    <x v="4"/>
    <x v="4"/>
    <s v="Cancelled"/>
    <s v="Running Shoes"/>
    <s v="Footwear"/>
    <s v="Jane Smith"/>
    <s v="Houston"/>
    <s v="Gift Card"/>
    <s v="Cancelled"/>
    <b v="1"/>
    <x v="1"/>
    <s v="Thursday"/>
    <x v="0"/>
  </r>
  <r>
    <x v="100"/>
    <d v="2025-02-20T00:00:00"/>
    <x v="5"/>
    <x v="3"/>
    <n v="15"/>
    <n v="5"/>
    <n v="75"/>
    <x v="2"/>
    <x v="2"/>
    <x v="3"/>
    <s v="Pending"/>
    <s v="Book"/>
    <s v="Books"/>
    <s v="John Doe"/>
    <s v="Denver"/>
    <s v="Paypal"/>
    <s v="Pending"/>
    <b v="1"/>
    <x v="1"/>
    <s v="Thursday"/>
    <x v="1"/>
  </r>
  <r>
    <x v="101"/>
    <d v="2025-02-28T00:00:00"/>
    <x v="4"/>
    <x v="1"/>
    <n v="500"/>
    <n v="2"/>
    <n v="1000"/>
    <x v="5"/>
    <x v="6"/>
    <x v="3"/>
    <s v="Pending"/>
    <s v="Smartphone"/>
    <s v="Electronics"/>
    <s v="David Lee"/>
    <s v="Boston"/>
    <s v="Paypal"/>
    <s v="Pending"/>
    <b v="1"/>
    <x v="1"/>
    <s v="Friday"/>
    <x v="1"/>
  </r>
  <r>
    <x v="102"/>
    <d v="2025-03-14T00:00:00"/>
    <x v="3"/>
    <x v="2"/>
    <n v="20"/>
    <n v="2"/>
    <n v="40"/>
    <x v="6"/>
    <x v="9"/>
    <x v="3"/>
    <s v="Pending"/>
    <s v="T-Shirt"/>
    <s v="Clothing"/>
    <s v="Michael Brown"/>
    <s v="Chicago"/>
    <s v="Paypal"/>
    <s v="Pending"/>
    <b v="1"/>
    <x v="0"/>
    <s v="Friday"/>
    <x v="1"/>
  </r>
  <r>
    <x v="103"/>
    <d v="2025-02-22T00:00:00"/>
    <x v="6"/>
    <x v="2"/>
    <n v="40"/>
    <n v="5"/>
    <n v="200"/>
    <x v="9"/>
    <x v="3"/>
    <x v="0"/>
    <s v="Pending"/>
    <s v="Jeans"/>
    <s v="Clothing"/>
    <s v="Jane Smith"/>
    <s v="Dallas"/>
    <s v="Debit Card"/>
    <s v="Pending"/>
    <b v="1"/>
    <x v="1"/>
    <s v="Saturday"/>
    <x v="1"/>
  </r>
  <r>
    <x v="104"/>
    <d v="2025-03-16T00:00:00"/>
    <x v="6"/>
    <x v="2"/>
    <n v="40"/>
    <n v="1"/>
    <n v="40"/>
    <x v="9"/>
    <x v="6"/>
    <x v="0"/>
    <s v="Pending"/>
    <s v="Jeans"/>
    <s v="Clothing"/>
    <s v="Jane Smith"/>
    <s v="Boston"/>
    <s v="Debit Card"/>
    <s v="Pending"/>
    <b v="1"/>
    <x v="0"/>
    <s v="Sunday"/>
    <x v="1"/>
  </r>
  <r>
    <x v="105"/>
    <d v="2025-03-15T00:00:00"/>
    <x v="3"/>
    <x v="2"/>
    <n v="20"/>
    <n v="3"/>
    <n v="60"/>
    <x v="3"/>
    <x v="9"/>
    <x v="3"/>
    <s v="Pending"/>
    <s v="T-Shirt"/>
    <s v="Clothing"/>
    <s v="Olivia Wilson"/>
    <s v="Chicago"/>
    <s v="Paypal"/>
    <s v="Pending"/>
    <b v="1"/>
    <x v="0"/>
    <s v="Saturday"/>
    <x v="1"/>
  </r>
  <r>
    <x v="106"/>
    <d v="2025-03-19T00:00:00"/>
    <x v="6"/>
    <x v="2"/>
    <n v="40"/>
    <n v="3"/>
    <n v="120"/>
    <x v="3"/>
    <x v="3"/>
    <x v="2"/>
    <s v="Cancelled"/>
    <s v="Jeans"/>
    <s v="Clothing"/>
    <s v="Olivia Wilson"/>
    <s v="Dallas"/>
    <s v="Credit Card"/>
    <s v="Cancelled"/>
    <b v="1"/>
    <x v="0"/>
    <s v="Wednesday"/>
    <x v="0"/>
  </r>
  <r>
    <x v="107"/>
    <d v="2025-03-16T00:00:00"/>
    <x v="1"/>
    <x v="1"/>
    <n v="100"/>
    <n v="2"/>
    <n v="200"/>
    <x v="7"/>
    <x v="5"/>
    <x v="3"/>
    <s v="Pending"/>
    <s v="Headphones"/>
    <s v="Electronics"/>
    <s v="Daniel Harris"/>
    <s v="Miami"/>
    <s v="Paypal"/>
    <s v="Pending"/>
    <b v="1"/>
    <x v="0"/>
    <s v="Sunday"/>
    <x v="1"/>
  </r>
  <r>
    <x v="108"/>
    <d v="2025-03-17T00:00:00"/>
    <x v="6"/>
    <x v="2"/>
    <n v="40"/>
    <n v="5"/>
    <n v="200"/>
    <x v="6"/>
    <x v="0"/>
    <x v="3"/>
    <s v="Completed"/>
    <s v="Jeans"/>
    <s v="Clothing"/>
    <s v="Michael Brown"/>
    <s v="New York"/>
    <s v="Paypal"/>
    <s v="Completed"/>
    <b v="1"/>
    <x v="0"/>
    <s v="Monday"/>
    <x v="2"/>
  </r>
  <r>
    <x v="109"/>
    <d v="2025-02-18T00:00:00"/>
    <x v="4"/>
    <x v="1"/>
    <n v="500"/>
    <n v="5"/>
    <n v="2500"/>
    <x v="3"/>
    <x v="3"/>
    <x v="1"/>
    <s v="Pending"/>
    <s v="Smartphone"/>
    <s v="Electronics"/>
    <s v="Olivia Wilson"/>
    <s v="Dallas"/>
    <s v="Amazon Pay"/>
    <s v="Pending"/>
    <b v="1"/>
    <x v="1"/>
    <s v="Tuesday"/>
    <x v="1"/>
  </r>
  <r>
    <x v="110"/>
    <d v="2025-03-31T00:00:00"/>
    <x v="7"/>
    <x v="1"/>
    <n v="800"/>
    <n v="4"/>
    <n v="3200"/>
    <x v="0"/>
    <x v="8"/>
    <x v="2"/>
    <s v="Completed"/>
    <s v="Laptop"/>
    <s v="Electronics"/>
    <s v="Emma Clark"/>
    <s v="Los Angeles"/>
    <s v="Credit Card"/>
    <s v="Completed"/>
    <b v="1"/>
    <x v="0"/>
    <s v="Monday"/>
    <x v="2"/>
  </r>
  <r>
    <x v="111"/>
    <d v="2025-03-06T00:00:00"/>
    <x v="8"/>
    <x v="4"/>
    <n v="600"/>
    <n v="2"/>
    <n v="1200"/>
    <x v="5"/>
    <x v="3"/>
    <x v="4"/>
    <s v="Cancelled"/>
    <s v="Washing Machine"/>
    <s v="Home Appliances"/>
    <s v="David Lee"/>
    <s v="Dallas"/>
    <s v="Gift Card"/>
    <s v="Cancelled"/>
    <b v="1"/>
    <x v="0"/>
    <s v="Thursday"/>
    <x v="0"/>
  </r>
  <r>
    <x v="112"/>
    <d v="2025-03-19T00:00:00"/>
    <x v="5"/>
    <x v="3"/>
    <n v="15"/>
    <n v="5"/>
    <n v="75"/>
    <x v="5"/>
    <x v="1"/>
    <x v="0"/>
    <s v="Pending"/>
    <s v="Book"/>
    <s v="Books"/>
    <s v="David Lee"/>
    <s v="San Francisco"/>
    <s v="Debit Card"/>
    <s v="Pending"/>
    <b v="1"/>
    <x v="0"/>
    <s v="Wednesday"/>
    <x v="1"/>
  </r>
  <r>
    <x v="113"/>
    <d v="2025-02-23T00:00:00"/>
    <x v="0"/>
    <x v="0"/>
    <n v="60"/>
    <n v="1"/>
    <n v="60"/>
    <x v="0"/>
    <x v="4"/>
    <x v="2"/>
    <s v="Pending"/>
    <s v="Running Shoes"/>
    <s v="Footwear"/>
    <s v="Emma Clark"/>
    <s v="Houston"/>
    <s v="Credit Card"/>
    <s v="Pending"/>
    <b v="1"/>
    <x v="1"/>
    <s v="Sunday"/>
    <x v="1"/>
  </r>
  <r>
    <x v="114"/>
    <d v="2025-03-21T00:00:00"/>
    <x v="0"/>
    <x v="0"/>
    <n v="60"/>
    <n v="3"/>
    <n v="180"/>
    <x v="3"/>
    <x v="5"/>
    <x v="1"/>
    <s v="Completed"/>
    <s v="Running Shoes"/>
    <s v="Footwear"/>
    <s v="Olivia Wilson"/>
    <s v="Miami"/>
    <s v="Amazon Pay"/>
    <s v="Completed"/>
    <b v="1"/>
    <x v="0"/>
    <s v="Friday"/>
    <x v="2"/>
  </r>
  <r>
    <x v="115"/>
    <d v="2025-03-19T00:00:00"/>
    <x v="7"/>
    <x v="1"/>
    <n v="800"/>
    <n v="4"/>
    <n v="3200"/>
    <x v="0"/>
    <x v="8"/>
    <x v="1"/>
    <s v="Completed"/>
    <s v="Laptop"/>
    <s v="Electronics"/>
    <s v="Emma Clark"/>
    <s v="Los Angeles"/>
    <s v="Amazon Pay"/>
    <s v="Completed"/>
    <b v="1"/>
    <x v="0"/>
    <s v="Wednesday"/>
    <x v="2"/>
  </r>
  <r>
    <x v="116"/>
    <d v="2025-02-27T00:00:00"/>
    <x v="3"/>
    <x v="2"/>
    <n v="20"/>
    <n v="1"/>
    <n v="20"/>
    <x v="7"/>
    <x v="0"/>
    <x v="2"/>
    <s v="Completed"/>
    <s v="T-Shirt"/>
    <s v="Clothing"/>
    <s v="Daniel Harris"/>
    <s v="New York"/>
    <s v="Credit Card"/>
    <s v="Completed"/>
    <b v="1"/>
    <x v="1"/>
    <s v="Thursday"/>
    <x v="2"/>
  </r>
  <r>
    <x v="117"/>
    <d v="2025-02-10T00:00:00"/>
    <x v="1"/>
    <x v="1"/>
    <n v="100"/>
    <n v="5"/>
    <n v="500"/>
    <x v="2"/>
    <x v="4"/>
    <x v="1"/>
    <s v="Completed"/>
    <s v="Headphones"/>
    <s v="Electronics"/>
    <s v="John Doe"/>
    <s v="Houston"/>
    <s v="Amazon Pay"/>
    <s v="Completed"/>
    <b v="1"/>
    <x v="1"/>
    <s v="Monday"/>
    <x v="2"/>
  </r>
  <r>
    <x v="118"/>
    <d v="2025-03-16T00:00:00"/>
    <x v="4"/>
    <x v="1"/>
    <n v="500"/>
    <n v="2"/>
    <n v="1000"/>
    <x v="8"/>
    <x v="9"/>
    <x v="3"/>
    <s v="Pending"/>
    <s v="Smartphone"/>
    <s v="Electronics"/>
    <s v="Chris White"/>
    <s v="Chicago"/>
    <s v="Paypal"/>
    <s v="Pending"/>
    <b v="1"/>
    <x v="0"/>
    <s v="Sunday"/>
    <x v="1"/>
  </r>
  <r>
    <x v="119"/>
    <d v="2025-02-16T00:00:00"/>
    <x v="7"/>
    <x v="1"/>
    <n v="800"/>
    <n v="5"/>
    <n v="4000"/>
    <x v="1"/>
    <x v="2"/>
    <x v="3"/>
    <s v="Completed"/>
    <s v="Laptop"/>
    <s v="Electronics"/>
    <s v="Emily Johnson"/>
    <s v="Denver"/>
    <s v="Paypal"/>
    <s v="Completed"/>
    <b v="1"/>
    <x v="1"/>
    <s v="Sunday"/>
    <x v="2"/>
  </r>
  <r>
    <x v="120"/>
    <d v="2025-02-18T00:00:00"/>
    <x v="4"/>
    <x v="1"/>
    <n v="500"/>
    <n v="1"/>
    <n v="500"/>
    <x v="2"/>
    <x v="3"/>
    <x v="4"/>
    <s v="Pending"/>
    <s v="Smartphone"/>
    <s v="Electronics"/>
    <s v="John Doe"/>
    <s v="Dallas"/>
    <s v="Gift Card"/>
    <s v="Pending"/>
    <b v="1"/>
    <x v="1"/>
    <s v="Tuesday"/>
    <x v="1"/>
  </r>
  <r>
    <x v="121"/>
    <d v="2025-03-28T00:00:00"/>
    <x v="7"/>
    <x v="1"/>
    <n v="800"/>
    <n v="3"/>
    <n v="2400"/>
    <x v="2"/>
    <x v="5"/>
    <x v="2"/>
    <s v="Cancelled"/>
    <s v="Laptop"/>
    <s v="Electronics"/>
    <s v="John Doe"/>
    <s v="Miami"/>
    <s v="Credit Card"/>
    <s v="Cancelled"/>
    <b v="1"/>
    <x v="0"/>
    <s v="Friday"/>
    <x v="0"/>
  </r>
  <r>
    <x v="122"/>
    <d v="2025-02-23T00:00:00"/>
    <x v="5"/>
    <x v="3"/>
    <n v="15"/>
    <n v="3"/>
    <n v="45"/>
    <x v="8"/>
    <x v="6"/>
    <x v="4"/>
    <s v="Cancelled"/>
    <s v="Book"/>
    <s v="Books"/>
    <s v="Chris White"/>
    <s v="Boston"/>
    <s v="Gift Card"/>
    <s v="Cancelled"/>
    <b v="1"/>
    <x v="1"/>
    <s v="Sunday"/>
    <x v="0"/>
  </r>
  <r>
    <x v="123"/>
    <d v="2025-02-10T00:00:00"/>
    <x v="5"/>
    <x v="3"/>
    <n v="15"/>
    <n v="1"/>
    <n v="15"/>
    <x v="0"/>
    <x v="7"/>
    <x v="4"/>
    <s v="Pending"/>
    <s v="Book"/>
    <s v="Books"/>
    <s v="Emma Clark"/>
    <s v="Seattle"/>
    <s v="Gift Card"/>
    <s v="Pending"/>
    <b v="1"/>
    <x v="1"/>
    <s v="Monday"/>
    <x v="1"/>
  </r>
  <r>
    <x v="124"/>
    <d v="2025-02-23T00:00:00"/>
    <x v="4"/>
    <x v="1"/>
    <n v="500"/>
    <n v="1"/>
    <n v="500"/>
    <x v="1"/>
    <x v="2"/>
    <x v="1"/>
    <s v="Completed"/>
    <s v="Smartphone"/>
    <s v="Electronics"/>
    <s v="Emily Johnson"/>
    <s v="Denver"/>
    <s v="Amazon Pay"/>
    <s v="Completed"/>
    <b v="1"/>
    <x v="1"/>
    <s v="Sunday"/>
    <x v="2"/>
  </r>
  <r>
    <x v="125"/>
    <d v="2025-02-04T00:00:00"/>
    <x v="9"/>
    <x v="4"/>
    <n v="1200"/>
    <n v="5"/>
    <n v="6000"/>
    <x v="3"/>
    <x v="9"/>
    <x v="4"/>
    <s v="Pending"/>
    <s v="Refrigerator"/>
    <s v="Home Appliances"/>
    <s v="Olivia Wilson"/>
    <s v="Chicago"/>
    <s v="Gift Card"/>
    <s v="Pending"/>
    <b v="1"/>
    <x v="1"/>
    <s v="Tuesday"/>
    <x v="1"/>
  </r>
  <r>
    <x v="126"/>
    <d v="2025-02-18T00:00:00"/>
    <x v="3"/>
    <x v="2"/>
    <n v="20"/>
    <n v="3"/>
    <n v="60"/>
    <x v="0"/>
    <x v="3"/>
    <x v="0"/>
    <s v="Completed"/>
    <s v="T-Shirt"/>
    <s v="Clothing"/>
    <s v="Emma Clark"/>
    <s v="Dallas"/>
    <s v="Debit Card"/>
    <s v="Completed"/>
    <b v="1"/>
    <x v="1"/>
    <s v="Tuesday"/>
    <x v="2"/>
  </r>
  <r>
    <x v="127"/>
    <d v="2025-03-23T00:00:00"/>
    <x v="2"/>
    <x v="1"/>
    <n v="150"/>
    <n v="2"/>
    <n v="300"/>
    <x v="1"/>
    <x v="3"/>
    <x v="3"/>
    <s v="Cancelled"/>
    <s v="Smartwatch"/>
    <s v="Electronics"/>
    <s v="Emily Johnson"/>
    <s v="Dallas"/>
    <s v="Paypal"/>
    <s v="Cancelled"/>
    <b v="1"/>
    <x v="0"/>
    <s v="Sunday"/>
    <x v="0"/>
  </r>
  <r>
    <x v="128"/>
    <d v="2025-02-26T00:00:00"/>
    <x v="6"/>
    <x v="2"/>
    <n v="40"/>
    <n v="5"/>
    <n v="200"/>
    <x v="1"/>
    <x v="0"/>
    <x v="0"/>
    <s v="Pending"/>
    <s v="Jeans"/>
    <s v="Clothing"/>
    <s v="Emily Johnson"/>
    <s v="New York"/>
    <s v="Debit Card"/>
    <s v="Pending"/>
    <b v="1"/>
    <x v="1"/>
    <s v="Wednesday"/>
    <x v="1"/>
  </r>
  <r>
    <x v="129"/>
    <d v="2025-02-10T00:00:00"/>
    <x v="2"/>
    <x v="1"/>
    <n v="150"/>
    <n v="5"/>
    <n v="750"/>
    <x v="5"/>
    <x v="6"/>
    <x v="3"/>
    <s v="Completed"/>
    <s v="Smartwatch"/>
    <s v="Electronics"/>
    <s v="David Lee"/>
    <s v="Boston"/>
    <s v="Paypal"/>
    <s v="Completed"/>
    <b v="1"/>
    <x v="1"/>
    <s v="Monday"/>
    <x v="2"/>
  </r>
  <r>
    <x v="130"/>
    <d v="2025-02-26T00:00:00"/>
    <x v="6"/>
    <x v="2"/>
    <n v="40"/>
    <n v="2"/>
    <n v="80"/>
    <x v="7"/>
    <x v="9"/>
    <x v="2"/>
    <s v="Pending"/>
    <s v="Jeans"/>
    <s v="Clothing"/>
    <s v="Daniel Harris"/>
    <s v="Chicago"/>
    <s v="Credit Card"/>
    <s v="Pending"/>
    <b v="1"/>
    <x v="1"/>
    <s v="Wednesday"/>
    <x v="1"/>
  </r>
  <r>
    <x v="131"/>
    <d v="2025-03-07T00:00:00"/>
    <x v="4"/>
    <x v="1"/>
    <n v="500"/>
    <n v="2"/>
    <n v="1000"/>
    <x v="3"/>
    <x v="9"/>
    <x v="0"/>
    <s v="Pending"/>
    <s v="Smartphone"/>
    <s v="Electronics"/>
    <s v="Olivia Wilson"/>
    <s v="Chicago"/>
    <s v="Debit Card"/>
    <s v="Pending"/>
    <b v="1"/>
    <x v="0"/>
    <s v="Friday"/>
    <x v="1"/>
  </r>
  <r>
    <x v="132"/>
    <d v="2025-02-23T00:00:00"/>
    <x v="7"/>
    <x v="1"/>
    <n v="800"/>
    <n v="1"/>
    <n v="800"/>
    <x v="1"/>
    <x v="0"/>
    <x v="1"/>
    <s v="Pending"/>
    <s v="Laptop"/>
    <s v="Electronics"/>
    <s v="Emily Johnson"/>
    <s v="New York"/>
    <s v="Amazon Pay"/>
    <s v="Pending"/>
    <b v="1"/>
    <x v="1"/>
    <s v="Sunday"/>
    <x v="1"/>
  </r>
  <r>
    <x v="133"/>
    <d v="2025-02-07T00:00:00"/>
    <x v="4"/>
    <x v="1"/>
    <n v="500"/>
    <n v="5"/>
    <n v="2500"/>
    <x v="5"/>
    <x v="9"/>
    <x v="4"/>
    <s v="Pending"/>
    <s v="Smartphone"/>
    <s v="Electronics"/>
    <s v="David Lee"/>
    <s v="Chicago"/>
    <s v="Gift Card"/>
    <s v="Pending"/>
    <b v="1"/>
    <x v="1"/>
    <s v="Friday"/>
    <x v="1"/>
  </r>
  <r>
    <x v="134"/>
    <d v="2025-02-10T00:00:00"/>
    <x v="3"/>
    <x v="2"/>
    <n v="20"/>
    <n v="1"/>
    <n v="20"/>
    <x v="3"/>
    <x v="5"/>
    <x v="2"/>
    <s v="Pending"/>
    <s v="T-Shirt"/>
    <s v="Clothing"/>
    <s v="Olivia Wilson"/>
    <s v="Miami"/>
    <s v="Credit Card"/>
    <s v="Pending"/>
    <b v="1"/>
    <x v="1"/>
    <s v="Monday"/>
    <x v="1"/>
  </r>
  <r>
    <x v="135"/>
    <d v="2025-02-11T00:00:00"/>
    <x v="9"/>
    <x v="4"/>
    <n v="1200"/>
    <n v="2"/>
    <n v="2400"/>
    <x v="7"/>
    <x v="1"/>
    <x v="3"/>
    <s v="Cancelled"/>
    <s v="Refrigerator"/>
    <s v="Home Appliances"/>
    <s v="Daniel Harris"/>
    <s v="San Francisco"/>
    <s v="Paypal"/>
    <s v="Cancelled"/>
    <b v="1"/>
    <x v="1"/>
    <s v="Tuesday"/>
    <x v="0"/>
  </r>
  <r>
    <x v="136"/>
    <d v="2025-03-20T00:00:00"/>
    <x v="2"/>
    <x v="1"/>
    <n v="150"/>
    <n v="3"/>
    <n v="450"/>
    <x v="4"/>
    <x v="1"/>
    <x v="0"/>
    <s v="Completed"/>
    <s v="Smartwatch"/>
    <s v="Electronics"/>
    <s v="Sophia Miller"/>
    <s v="San Francisco"/>
    <s v="Debit Card"/>
    <s v="Completed"/>
    <b v="1"/>
    <x v="0"/>
    <s v="Thursday"/>
    <x v="2"/>
  </r>
  <r>
    <x v="137"/>
    <d v="2025-02-11T00:00:00"/>
    <x v="2"/>
    <x v="1"/>
    <n v="150"/>
    <n v="5"/>
    <n v="750"/>
    <x v="2"/>
    <x v="8"/>
    <x v="2"/>
    <s v="Cancelled"/>
    <s v="Smartwatch"/>
    <s v="Electronics"/>
    <s v="John Doe"/>
    <s v="Los Angeles"/>
    <s v="Credit Card"/>
    <s v="Cancelled"/>
    <b v="1"/>
    <x v="1"/>
    <s v="Tuesday"/>
    <x v="0"/>
  </r>
  <r>
    <x v="138"/>
    <d v="2025-03-18T00:00:00"/>
    <x v="7"/>
    <x v="1"/>
    <n v="800"/>
    <n v="2"/>
    <n v="1600"/>
    <x v="6"/>
    <x v="2"/>
    <x v="3"/>
    <s v="Cancelled"/>
    <s v="Laptop"/>
    <s v="Electronics"/>
    <s v="Michael Brown"/>
    <s v="Denver"/>
    <s v="Paypal"/>
    <s v="Cancelled"/>
    <b v="1"/>
    <x v="0"/>
    <s v="Tuesday"/>
    <x v="0"/>
  </r>
  <r>
    <x v="139"/>
    <d v="2025-03-19T00:00:00"/>
    <x v="2"/>
    <x v="1"/>
    <n v="150"/>
    <n v="2"/>
    <n v="300"/>
    <x v="3"/>
    <x v="5"/>
    <x v="0"/>
    <s v="Completed"/>
    <s v="Smartwatch"/>
    <s v="Electronics"/>
    <s v="Olivia Wilson"/>
    <s v="Miami"/>
    <s v="Debit Card"/>
    <s v="Completed"/>
    <b v="1"/>
    <x v="0"/>
    <s v="Wednesday"/>
    <x v="2"/>
  </r>
  <r>
    <x v="140"/>
    <d v="2025-03-21T00:00:00"/>
    <x v="4"/>
    <x v="1"/>
    <n v="500"/>
    <n v="2"/>
    <n v="1000"/>
    <x v="2"/>
    <x v="5"/>
    <x v="3"/>
    <s v="Completed"/>
    <s v="Smartphone"/>
    <s v="Electronics"/>
    <s v="John Doe"/>
    <s v="Miami"/>
    <s v="Paypal"/>
    <s v="Completed"/>
    <b v="1"/>
    <x v="0"/>
    <s v="Friday"/>
    <x v="2"/>
  </r>
  <r>
    <x v="141"/>
    <d v="2025-03-15T00:00:00"/>
    <x v="4"/>
    <x v="1"/>
    <n v="500"/>
    <n v="3"/>
    <n v="1500"/>
    <x v="4"/>
    <x v="5"/>
    <x v="4"/>
    <s v="Completed"/>
    <s v="Smartphone"/>
    <s v="Electronics"/>
    <s v="Sophia Miller"/>
    <s v="Miami"/>
    <s v="Gift Card"/>
    <s v="Completed"/>
    <b v="1"/>
    <x v="0"/>
    <s v="Saturday"/>
    <x v="2"/>
  </r>
  <r>
    <x v="142"/>
    <d v="2025-03-31T00:00:00"/>
    <x v="9"/>
    <x v="4"/>
    <n v="1200"/>
    <n v="2"/>
    <n v="2400"/>
    <x v="9"/>
    <x v="3"/>
    <x v="3"/>
    <s v="Cancelled"/>
    <s v="Refrigerator"/>
    <s v="Home Appliances"/>
    <s v="Jane Smith"/>
    <s v="Dallas"/>
    <s v="Paypal"/>
    <s v="Cancelled"/>
    <b v="1"/>
    <x v="0"/>
    <s v="Monday"/>
    <x v="0"/>
  </r>
  <r>
    <x v="143"/>
    <d v="2025-02-27T00:00:00"/>
    <x v="6"/>
    <x v="2"/>
    <n v="40"/>
    <n v="2"/>
    <n v="80"/>
    <x v="6"/>
    <x v="8"/>
    <x v="4"/>
    <s v="Cancelled"/>
    <s v="Jeans"/>
    <s v="Clothing"/>
    <s v="Michael Brown"/>
    <s v="Los Angeles"/>
    <s v="Gift Card"/>
    <s v="Cancelled"/>
    <b v="1"/>
    <x v="1"/>
    <s v="Thursday"/>
    <x v="0"/>
  </r>
  <r>
    <x v="144"/>
    <d v="2025-03-08T00:00:00"/>
    <x v="2"/>
    <x v="1"/>
    <n v="150"/>
    <n v="2"/>
    <n v="300"/>
    <x v="6"/>
    <x v="7"/>
    <x v="0"/>
    <s v="Cancelled"/>
    <s v="Smartwatch"/>
    <s v="Electronics"/>
    <s v="Michael Brown"/>
    <s v="Seattle"/>
    <s v="Debit Card"/>
    <s v="Cancelled"/>
    <b v="1"/>
    <x v="0"/>
    <s v="Saturday"/>
    <x v="0"/>
  </r>
  <r>
    <x v="145"/>
    <d v="2025-03-25T00:00:00"/>
    <x v="2"/>
    <x v="1"/>
    <n v="150"/>
    <n v="2"/>
    <n v="300"/>
    <x v="0"/>
    <x v="6"/>
    <x v="0"/>
    <s v="Completed"/>
    <s v="Smartwatch"/>
    <s v="Electronics"/>
    <s v="Emma Clark"/>
    <s v="Boston"/>
    <s v="Debit Card"/>
    <s v="Completed"/>
    <b v="1"/>
    <x v="0"/>
    <s v="Tuesday"/>
    <x v="2"/>
  </r>
  <r>
    <x v="146"/>
    <d v="2025-02-05T00:00:00"/>
    <x v="0"/>
    <x v="0"/>
    <n v="60"/>
    <n v="5"/>
    <n v="300"/>
    <x v="9"/>
    <x v="3"/>
    <x v="3"/>
    <s v="Pending"/>
    <s v="Running Shoes"/>
    <s v="Footwear"/>
    <s v="Jane Smith"/>
    <s v="Dallas"/>
    <s v="Paypal"/>
    <s v="Pending"/>
    <b v="1"/>
    <x v="1"/>
    <s v="Wednesday"/>
    <x v="1"/>
  </r>
  <r>
    <x v="147"/>
    <d v="2025-02-06T00:00:00"/>
    <x v="1"/>
    <x v="1"/>
    <n v="100"/>
    <n v="4"/>
    <n v="400"/>
    <x v="1"/>
    <x v="8"/>
    <x v="1"/>
    <s v="Cancelled"/>
    <s v="Headphones"/>
    <s v="Electronics"/>
    <s v="Emily Johnson"/>
    <s v="Los Angeles"/>
    <s v="Amazon Pay"/>
    <s v="Cancelled"/>
    <b v="1"/>
    <x v="1"/>
    <s v="Thursday"/>
    <x v="0"/>
  </r>
  <r>
    <x v="148"/>
    <d v="2025-03-20T00:00:00"/>
    <x v="0"/>
    <x v="0"/>
    <n v="60"/>
    <n v="3"/>
    <n v="180"/>
    <x v="6"/>
    <x v="0"/>
    <x v="4"/>
    <s v="Pending"/>
    <s v="Running Shoes"/>
    <s v="Footwear"/>
    <s v="Michael Brown"/>
    <s v="New York"/>
    <s v="Gift Card"/>
    <s v="Pending"/>
    <b v="1"/>
    <x v="0"/>
    <s v="Thursday"/>
    <x v="1"/>
  </r>
  <r>
    <x v="149"/>
    <d v="2025-02-08T00:00:00"/>
    <x v="5"/>
    <x v="3"/>
    <n v="15"/>
    <n v="4"/>
    <n v="60"/>
    <x v="7"/>
    <x v="9"/>
    <x v="4"/>
    <s v="Cancelled"/>
    <s v="Book"/>
    <s v="Books"/>
    <s v="Daniel Harris"/>
    <s v="Chicago"/>
    <s v="Gift Card"/>
    <s v="Cancelled"/>
    <b v="1"/>
    <x v="1"/>
    <s v="Saturday"/>
    <x v="0"/>
  </r>
  <r>
    <x v="150"/>
    <d v="2025-03-29T00:00:00"/>
    <x v="8"/>
    <x v="4"/>
    <n v="600"/>
    <n v="4"/>
    <n v="2400"/>
    <x v="9"/>
    <x v="8"/>
    <x v="1"/>
    <s v="Pending"/>
    <s v="Washing Machine"/>
    <s v="Home Appliances"/>
    <s v="Jane Smith"/>
    <s v="Los Angeles"/>
    <s v="Amazon Pay"/>
    <s v="Pending"/>
    <b v="1"/>
    <x v="0"/>
    <s v="Saturday"/>
    <x v="1"/>
  </r>
  <r>
    <x v="151"/>
    <d v="2025-02-28T00:00:00"/>
    <x v="2"/>
    <x v="1"/>
    <n v="150"/>
    <n v="1"/>
    <n v="150"/>
    <x v="2"/>
    <x v="7"/>
    <x v="4"/>
    <s v="Completed"/>
    <s v="Smartwatch"/>
    <s v="Electronics"/>
    <s v="John Doe"/>
    <s v="Seattle"/>
    <s v="Gift Card"/>
    <s v="Completed"/>
    <b v="1"/>
    <x v="1"/>
    <s v="Friday"/>
    <x v="2"/>
  </r>
  <r>
    <x v="152"/>
    <d v="2025-02-23T00:00:00"/>
    <x v="2"/>
    <x v="1"/>
    <n v="150"/>
    <n v="5"/>
    <n v="750"/>
    <x v="4"/>
    <x v="1"/>
    <x v="3"/>
    <s v="Pending"/>
    <s v="Smartwatch"/>
    <s v="Electronics"/>
    <s v="Sophia Miller"/>
    <s v="San Francisco"/>
    <s v="Paypal"/>
    <s v="Pending"/>
    <b v="1"/>
    <x v="1"/>
    <s v="Sunday"/>
    <x v="1"/>
  </r>
  <r>
    <x v="153"/>
    <d v="2025-03-01T00:00:00"/>
    <x v="1"/>
    <x v="1"/>
    <n v="100"/>
    <n v="2"/>
    <n v="200"/>
    <x v="2"/>
    <x v="2"/>
    <x v="0"/>
    <s v="Completed"/>
    <s v="Headphones"/>
    <s v="Electronics"/>
    <s v="John Doe"/>
    <s v="Denver"/>
    <s v="Debit Card"/>
    <s v="Completed"/>
    <b v="1"/>
    <x v="0"/>
    <s v="Saturday"/>
    <x v="2"/>
  </r>
  <r>
    <x v="154"/>
    <d v="2025-02-05T00:00:00"/>
    <x v="9"/>
    <x v="4"/>
    <n v="1200"/>
    <n v="4"/>
    <n v="4800"/>
    <x v="4"/>
    <x v="7"/>
    <x v="2"/>
    <s v="Pending"/>
    <s v="Refrigerator"/>
    <s v="Home Appliances"/>
    <s v="Sophia Miller"/>
    <s v="Seattle"/>
    <s v="Credit Card"/>
    <s v="Pending"/>
    <b v="1"/>
    <x v="1"/>
    <s v="Wednesday"/>
    <x v="1"/>
  </r>
  <r>
    <x v="155"/>
    <d v="2025-03-16T00:00:00"/>
    <x v="2"/>
    <x v="1"/>
    <n v="150"/>
    <n v="4"/>
    <n v="600"/>
    <x v="3"/>
    <x v="5"/>
    <x v="3"/>
    <s v="Cancelled"/>
    <s v="Smartwatch"/>
    <s v="Electronics"/>
    <s v="Olivia Wilson"/>
    <s v="Miami"/>
    <s v="Paypal"/>
    <s v="Cancelled"/>
    <b v="1"/>
    <x v="0"/>
    <s v="Sunday"/>
    <x v="0"/>
  </r>
  <r>
    <x v="156"/>
    <d v="2025-02-08T00:00:00"/>
    <x v="4"/>
    <x v="1"/>
    <n v="500"/>
    <n v="3"/>
    <n v="1500"/>
    <x v="4"/>
    <x v="2"/>
    <x v="2"/>
    <s v="Pending"/>
    <s v="Smartphone"/>
    <s v="Electronics"/>
    <s v="Sophia Miller"/>
    <s v="Denver"/>
    <s v="Credit Card"/>
    <s v="Pending"/>
    <b v="1"/>
    <x v="1"/>
    <s v="Saturday"/>
    <x v="1"/>
  </r>
  <r>
    <x v="157"/>
    <d v="2025-02-24T00:00:00"/>
    <x v="7"/>
    <x v="1"/>
    <n v="800"/>
    <n v="3"/>
    <n v="2400"/>
    <x v="8"/>
    <x v="5"/>
    <x v="0"/>
    <s v="Pending"/>
    <s v="Laptop"/>
    <s v="Electronics"/>
    <s v="Chris White"/>
    <s v="Miami"/>
    <s v="Debit Card"/>
    <s v="Pending"/>
    <b v="1"/>
    <x v="1"/>
    <s v="Monday"/>
    <x v="1"/>
  </r>
  <r>
    <x v="158"/>
    <d v="2025-02-16T00:00:00"/>
    <x v="3"/>
    <x v="2"/>
    <n v="20"/>
    <n v="2"/>
    <n v="40"/>
    <x v="5"/>
    <x v="3"/>
    <x v="4"/>
    <s v="Cancelled"/>
    <s v="T-Shirt"/>
    <s v="Clothing"/>
    <s v="David Lee"/>
    <s v="Dallas"/>
    <s v="Gift Card"/>
    <s v="Cancelled"/>
    <b v="1"/>
    <x v="1"/>
    <s v="Sunday"/>
    <x v="0"/>
  </r>
  <r>
    <x v="159"/>
    <d v="2025-02-06T00:00:00"/>
    <x v="8"/>
    <x v="4"/>
    <n v="600"/>
    <n v="3"/>
    <n v="1800"/>
    <x v="3"/>
    <x v="2"/>
    <x v="4"/>
    <s v="Cancelled"/>
    <s v="Washing Machine"/>
    <s v="Home Appliances"/>
    <s v="Olivia Wilson"/>
    <s v="Denver"/>
    <s v="Gift Card"/>
    <s v="Cancelled"/>
    <b v="1"/>
    <x v="1"/>
    <s v="Thursday"/>
    <x v="0"/>
  </r>
  <r>
    <x v="160"/>
    <d v="2025-02-22T00:00:00"/>
    <x v="1"/>
    <x v="1"/>
    <n v="100"/>
    <n v="1"/>
    <n v="100"/>
    <x v="1"/>
    <x v="8"/>
    <x v="2"/>
    <s v="Completed"/>
    <s v="Headphones"/>
    <s v="Electronics"/>
    <s v="Emily Johnson"/>
    <s v="Los Angeles"/>
    <s v="Credit Card"/>
    <s v="Completed"/>
    <b v="1"/>
    <x v="1"/>
    <s v="Saturday"/>
    <x v="2"/>
  </r>
  <r>
    <x v="161"/>
    <d v="2025-02-09T00:00:00"/>
    <x v="4"/>
    <x v="1"/>
    <n v="500"/>
    <n v="2"/>
    <n v="1000"/>
    <x v="3"/>
    <x v="9"/>
    <x v="2"/>
    <s v="Completed"/>
    <s v="Smartphone"/>
    <s v="Electronics"/>
    <s v="Olivia Wilson"/>
    <s v="Chicago"/>
    <s v="Credit Card"/>
    <s v="Completed"/>
    <b v="1"/>
    <x v="1"/>
    <s v="Sunday"/>
    <x v="2"/>
  </r>
  <r>
    <x v="162"/>
    <d v="2025-02-20T00:00:00"/>
    <x v="0"/>
    <x v="0"/>
    <n v="60"/>
    <n v="2"/>
    <n v="120"/>
    <x v="8"/>
    <x v="4"/>
    <x v="3"/>
    <s v="Completed"/>
    <s v="Running Shoes"/>
    <s v="Footwear"/>
    <s v="Chris White"/>
    <s v="Houston"/>
    <s v="Paypal"/>
    <s v="Completed"/>
    <b v="1"/>
    <x v="1"/>
    <s v="Thursday"/>
    <x v="2"/>
  </r>
  <r>
    <x v="163"/>
    <d v="2025-02-25T00:00:00"/>
    <x v="2"/>
    <x v="1"/>
    <n v="150"/>
    <n v="5"/>
    <n v="750"/>
    <x v="6"/>
    <x v="6"/>
    <x v="0"/>
    <s v="Pending"/>
    <s v="Smartwatch"/>
    <s v="Electronics"/>
    <s v="Michael Brown"/>
    <s v="Boston"/>
    <s v="Debit Card"/>
    <s v="Pending"/>
    <b v="1"/>
    <x v="1"/>
    <s v="Tuesday"/>
    <x v="1"/>
  </r>
  <r>
    <x v="164"/>
    <d v="2025-03-14T00:00:00"/>
    <x v="5"/>
    <x v="3"/>
    <n v="15"/>
    <n v="1"/>
    <n v="15"/>
    <x v="5"/>
    <x v="0"/>
    <x v="1"/>
    <s v="Pending"/>
    <s v="Book"/>
    <s v="Books"/>
    <s v="David Lee"/>
    <s v="New York"/>
    <s v="Amazon Pay"/>
    <s v="Pending"/>
    <b v="1"/>
    <x v="0"/>
    <s v="Friday"/>
    <x v="1"/>
  </r>
  <r>
    <x v="165"/>
    <d v="2025-03-30T00:00:00"/>
    <x v="8"/>
    <x v="4"/>
    <n v="600"/>
    <n v="4"/>
    <n v="2400"/>
    <x v="8"/>
    <x v="4"/>
    <x v="2"/>
    <s v="Pending"/>
    <s v="Washing Machine"/>
    <s v="Home Appliances"/>
    <s v="Chris White"/>
    <s v="Houston"/>
    <s v="Credit Card"/>
    <s v="Pending"/>
    <b v="1"/>
    <x v="0"/>
    <s v="Sunday"/>
    <x v="1"/>
  </r>
  <r>
    <x v="166"/>
    <d v="2025-03-20T00:00:00"/>
    <x v="9"/>
    <x v="4"/>
    <n v="1200"/>
    <n v="2"/>
    <n v="2400"/>
    <x v="3"/>
    <x v="7"/>
    <x v="2"/>
    <s v="Completed"/>
    <s v="Refrigerator"/>
    <s v="Home Appliances"/>
    <s v="Olivia Wilson"/>
    <s v="Seattle"/>
    <s v="Credit Card"/>
    <s v="Completed"/>
    <b v="1"/>
    <x v="0"/>
    <s v="Thursday"/>
    <x v="2"/>
  </r>
  <r>
    <x v="167"/>
    <d v="2025-03-24T00:00:00"/>
    <x v="7"/>
    <x v="1"/>
    <n v="800"/>
    <n v="5"/>
    <n v="4000"/>
    <x v="6"/>
    <x v="5"/>
    <x v="0"/>
    <s v="Pending"/>
    <s v="Laptop"/>
    <s v="Electronics"/>
    <s v="Michael Brown"/>
    <s v="Miami"/>
    <s v="Debit Card"/>
    <s v="Pending"/>
    <b v="1"/>
    <x v="0"/>
    <s v="Monday"/>
    <x v="1"/>
  </r>
  <r>
    <x v="168"/>
    <d v="2025-03-06T00:00:00"/>
    <x v="9"/>
    <x v="4"/>
    <n v="1200"/>
    <n v="2"/>
    <n v="2400"/>
    <x v="2"/>
    <x v="2"/>
    <x v="3"/>
    <s v="Completed"/>
    <s v="Refrigerator"/>
    <s v="Home Appliances"/>
    <s v="John Doe"/>
    <s v="Denver"/>
    <s v="Paypal"/>
    <s v="Completed"/>
    <b v="1"/>
    <x v="0"/>
    <s v="Thursday"/>
    <x v="2"/>
  </r>
  <r>
    <x v="169"/>
    <d v="2025-02-28T00:00:00"/>
    <x v="7"/>
    <x v="1"/>
    <n v="800"/>
    <n v="1"/>
    <n v="800"/>
    <x v="0"/>
    <x v="1"/>
    <x v="4"/>
    <s v="Pending"/>
    <s v="Laptop"/>
    <s v="Electronics"/>
    <s v="Emma Clark"/>
    <s v="San Francisco"/>
    <s v="Gift Card"/>
    <s v="Pending"/>
    <b v="1"/>
    <x v="1"/>
    <s v="Friday"/>
    <x v="1"/>
  </r>
  <r>
    <x v="170"/>
    <d v="2025-02-28T00:00:00"/>
    <x v="2"/>
    <x v="1"/>
    <n v="150"/>
    <n v="2"/>
    <n v="300"/>
    <x v="7"/>
    <x v="4"/>
    <x v="3"/>
    <s v="Completed"/>
    <s v="Smartwatch"/>
    <s v="Electronics"/>
    <s v="Daniel Harris"/>
    <s v="Houston"/>
    <s v="Paypal"/>
    <s v="Completed"/>
    <b v="1"/>
    <x v="1"/>
    <s v="Friday"/>
    <x v="2"/>
  </r>
  <r>
    <x v="171"/>
    <d v="2025-03-12T00:00:00"/>
    <x v="5"/>
    <x v="3"/>
    <n v="15"/>
    <n v="1"/>
    <n v="15"/>
    <x v="5"/>
    <x v="5"/>
    <x v="0"/>
    <s v="Cancelled"/>
    <s v="Book"/>
    <s v="Books"/>
    <s v="David Lee"/>
    <s v="Miami"/>
    <s v="Debit Card"/>
    <s v="Cancelled"/>
    <b v="1"/>
    <x v="0"/>
    <s v="Wednesday"/>
    <x v="0"/>
  </r>
  <r>
    <x v="172"/>
    <d v="2025-02-28T00:00:00"/>
    <x v="9"/>
    <x v="4"/>
    <n v="1200"/>
    <n v="1"/>
    <n v="1200"/>
    <x v="3"/>
    <x v="7"/>
    <x v="3"/>
    <s v="Completed"/>
    <s v="Refrigerator"/>
    <s v="Home Appliances"/>
    <s v="Olivia Wilson"/>
    <s v="Seattle"/>
    <s v="Paypal"/>
    <s v="Completed"/>
    <b v="1"/>
    <x v="1"/>
    <s v="Friday"/>
    <x v="2"/>
  </r>
  <r>
    <x v="173"/>
    <d v="2025-03-13T00:00:00"/>
    <x v="2"/>
    <x v="1"/>
    <n v="150"/>
    <n v="2"/>
    <n v="300"/>
    <x v="5"/>
    <x v="9"/>
    <x v="0"/>
    <s v="Pending"/>
    <s v="Smartwatch"/>
    <s v="Electronics"/>
    <s v="David Lee"/>
    <s v="Chicago"/>
    <s v="Debit Card"/>
    <s v="Pending"/>
    <b v="1"/>
    <x v="0"/>
    <s v="Thursday"/>
    <x v="1"/>
  </r>
  <r>
    <x v="174"/>
    <d v="2025-03-24T00:00:00"/>
    <x v="6"/>
    <x v="2"/>
    <n v="40"/>
    <n v="5"/>
    <n v="200"/>
    <x v="5"/>
    <x v="0"/>
    <x v="0"/>
    <s v="Cancelled"/>
    <s v="Jeans"/>
    <s v="Clothing"/>
    <s v="David Lee"/>
    <s v="New York"/>
    <s v="Debit Card"/>
    <s v="Cancelled"/>
    <b v="1"/>
    <x v="0"/>
    <s v="Monday"/>
    <x v="0"/>
  </r>
  <r>
    <x v="175"/>
    <d v="2025-03-27T00:00:00"/>
    <x v="5"/>
    <x v="3"/>
    <n v="15"/>
    <n v="1"/>
    <n v="15"/>
    <x v="6"/>
    <x v="6"/>
    <x v="1"/>
    <s v="Completed"/>
    <s v="Book"/>
    <s v="Books"/>
    <s v="Michael Brown"/>
    <s v="Boston"/>
    <s v="Amazon Pay"/>
    <s v="Completed"/>
    <b v="1"/>
    <x v="0"/>
    <s v="Thursday"/>
    <x v="2"/>
  </r>
  <r>
    <x v="176"/>
    <d v="2025-03-14T00:00:00"/>
    <x v="5"/>
    <x v="3"/>
    <n v="15"/>
    <n v="5"/>
    <n v="75"/>
    <x v="5"/>
    <x v="1"/>
    <x v="2"/>
    <s v="Pending"/>
    <s v="Book"/>
    <s v="Books"/>
    <s v="David Lee"/>
    <s v="San Francisco"/>
    <s v="Credit Card"/>
    <s v="Pending"/>
    <b v="1"/>
    <x v="0"/>
    <s v="Friday"/>
    <x v="1"/>
  </r>
  <r>
    <x v="177"/>
    <d v="2025-02-06T00:00:00"/>
    <x v="4"/>
    <x v="1"/>
    <n v="500"/>
    <n v="3"/>
    <n v="1500"/>
    <x v="1"/>
    <x v="9"/>
    <x v="3"/>
    <s v="Completed"/>
    <s v="Smartphone"/>
    <s v="Electronics"/>
    <s v="Emily Johnson"/>
    <s v="Chicago"/>
    <s v="Paypal"/>
    <s v="Completed"/>
    <b v="1"/>
    <x v="1"/>
    <s v="Thursday"/>
    <x v="2"/>
  </r>
  <r>
    <x v="178"/>
    <d v="2025-03-25T00:00:00"/>
    <x v="6"/>
    <x v="2"/>
    <n v="40"/>
    <n v="1"/>
    <n v="40"/>
    <x v="3"/>
    <x v="7"/>
    <x v="3"/>
    <s v="Cancelled"/>
    <s v="Jeans"/>
    <s v="Clothing"/>
    <s v="Olivia Wilson"/>
    <s v="Seattle"/>
    <s v="Paypal"/>
    <s v="Cancelled"/>
    <b v="1"/>
    <x v="0"/>
    <s v="Tuesday"/>
    <x v="0"/>
  </r>
  <r>
    <x v="179"/>
    <d v="2025-03-04T00:00:00"/>
    <x v="9"/>
    <x v="4"/>
    <n v="1200"/>
    <n v="3"/>
    <n v="3600"/>
    <x v="5"/>
    <x v="6"/>
    <x v="4"/>
    <s v="Completed"/>
    <s v="Refrigerator"/>
    <s v="Home Appliances"/>
    <s v="David Lee"/>
    <s v="Boston"/>
    <s v="Gift Card"/>
    <s v="Completed"/>
    <b v="1"/>
    <x v="0"/>
    <s v="Tuesday"/>
    <x v="2"/>
  </r>
  <r>
    <x v="180"/>
    <d v="2025-03-03T00:00:00"/>
    <x v="0"/>
    <x v="0"/>
    <n v="60"/>
    <n v="2"/>
    <n v="120"/>
    <x v="5"/>
    <x v="8"/>
    <x v="0"/>
    <s v="Cancelled"/>
    <s v="Running Shoes"/>
    <s v="Footwear"/>
    <s v="David Lee"/>
    <s v="Los Angeles"/>
    <s v="Debit Card"/>
    <s v="Cancelled"/>
    <b v="1"/>
    <x v="0"/>
    <s v="Monday"/>
    <x v="0"/>
  </r>
  <r>
    <x v="181"/>
    <d v="2025-04-02T00:00:00"/>
    <x v="3"/>
    <x v="2"/>
    <n v="20"/>
    <n v="5"/>
    <n v="100"/>
    <x v="0"/>
    <x v="2"/>
    <x v="3"/>
    <s v="Completed"/>
    <s v="T-Shirt"/>
    <s v="Clothing"/>
    <s v="Emma Clark"/>
    <s v="Denver"/>
    <s v="Paypal"/>
    <s v="Completed"/>
    <b v="1"/>
    <x v="2"/>
    <s v="Wednesday"/>
    <x v="2"/>
  </r>
  <r>
    <x v="182"/>
    <d v="2025-03-25T00:00:00"/>
    <x v="8"/>
    <x v="4"/>
    <n v="600"/>
    <n v="1"/>
    <n v="600"/>
    <x v="0"/>
    <x v="7"/>
    <x v="0"/>
    <s v="Pending"/>
    <s v="Washing Machine"/>
    <s v="Home Appliances"/>
    <s v="Emma Clark"/>
    <s v="Seattle"/>
    <s v="Debit Card"/>
    <s v="Pending"/>
    <b v="1"/>
    <x v="0"/>
    <s v="Tuesday"/>
    <x v="1"/>
  </r>
  <r>
    <x v="183"/>
    <d v="2025-02-17T00:00:00"/>
    <x v="5"/>
    <x v="3"/>
    <n v="15"/>
    <n v="5"/>
    <n v="75"/>
    <x v="7"/>
    <x v="5"/>
    <x v="0"/>
    <s v="Pending"/>
    <s v="Book"/>
    <s v="Books"/>
    <s v="Daniel Harris"/>
    <s v="Miami"/>
    <s v="Debit Card"/>
    <s v="Pending"/>
    <b v="1"/>
    <x v="1"/>
    <s v="Monday"/>
    <x v="1"/>
  </r>
  <r>
    <x v="184"/>
    <d v="2025-03-22T00:00:00"/>
    <x v="3"/>
    <x v="2"/>
    <n v="20"/>
    <n v="1"/>
    <n v="20"/>
    <x v="8"/>
    <x v="3"/>
    <x v="0"/>
    <s v="Completed"/>
    <s v="T-Shirt"/>
    <s v="Clothing"/>
    <s v="Chris White"/>
    <s v="Dallas"/>
    <s v="Debit Card"/>
    <s v="Completed"/>
    <b v="1"/>
    <x v="0"/>
    <s v="Saturday"/>
    <x v="2"/>
  </r>
  <r>
    <x v="185"/>
    <d v="2025-03-02T00:00:00"/>
    <x v="8"/>
    <x v="4"/>
    <n v="600"/>
    <n v="4"/>
    <n v="2400"/>
    <x v="6"/>
    <x v="0"/>
    <x v="3"/>
    <s v="Completed"/>
    <s v="Washing Machine"/>
    <s v="Home Appliances"/>
    <s v="Michael Brown"/>
    <s v="New York"/>
    <s v="Paypal"/>
    <s v="Completed"/>
    <b v="1"/>
    <x v="0"/>
    <s v="Sunday"/>
    <x v="2"/>
  </r>
  <r>
    <x v="186"/>
    <d v="2025-03-13T00:00:00"/>
    <x v="7"/>
    <x v="1"/>
    <n v="800"/>
    <n v="3"/>
    <n v="2400"/>
    <x v="2"/>
    <x v="0"/>
    <x v="3"/>
    <s v="Pending"/>
    <s v="Laptop"/>
    <s v="Electronics"/>
    <s v="John Doe"/>
    <s v="New York"/>
    <s v="Paypal"/>
    <s v="Pending"/>
    <b v="1"/>
    <x v="0"/>
    <s v="Thursday"/>
    <x v="1"/>
  </r>
  <r>
    <x v="187"/>
    <d v="2025-02-14T00:00:00"/>
    <x v="5"/>
    <x v="3"/>
    <n v="15"/>
    <n v="1"/>
    <n v="15"/>
    <x v="2"/>
    <x v="6"/>
    <x v="1"/>
    <s v="Completed"/>
    <s v="Book"/>
    <s v="Books"/>
    <s v="John Doe"/>
    <s v="Boston"/>
    <s v="Amazon Pay"/>
    <s v="Completed"/>
    <b v="1"/>
    <x v="1"/>
    <s v="Friday"/>
    <x v="2"/>
  </r>
  <r>
    <x v="188"/>
    <d v="2025-02-10T00:00:00"/>
    <x v="7"/>
    <x v="1"/>
    <n v="800"/>
    <n v="3"/>
    <n v="2400"/>
    <x v="9"/>
    <x v="4"/>
    <x v="1"/>
    <s v="Completed"/>
    <s v="Laptop"/>
    <s v="Electronics"/>
    <s v="Jane Smith"/>
    <s v="Houston"/>
    <s v="Amazon Pay"/>
    <s v="Completed"/>
    <b v="1"/>
    <x v="1"/>
    <s v="Monday"/>
    <x v="2"/>
  </r>
  <r>
    <x v="189"/>
    <d v="2025-02-23T00:00:00"/>
    <x v="0"/>
    <x v="0"/>
    <n v="60"/>
    <n v="1"/>
    <n v="60"/>
    <x v="4"/>
    <x v="4"/>
    <x v="3"/>
    <s v="Completed"/>
    <s v="Running Shoes"/>
    <s v="Footwear"/>
    <s v="Sophia Miller"/>
    <s v="Houston"/>
    <s v="Paypal"/>
    <s v="Completed"/>
    <b v="1"/>
    <x v="1"/>
    <s v="Sunday"/>
    <x v="2"/>
  </r>
  <r>
    <x v="190"/>
    <d v="2025-02-28T00:00:00"/>
    <x v="6"/>
    <x v="2"/>
    <n v="40"/>
    <n v="4"/>
    <n v="160"/>
    <x v="2"/>
    <x v="7"/>
    <x v="1"/>
    <s v="Pending"/>
    <s v="Jeans"/>
    <s v="Clothing"/>
    <s v="John Doe"/>
    <s v="Seattle"/>
    <s v="Amazon Pay"/>
    <s v="Pending"/>
    <b v="1"/>
    <x v="1"/>
    <s v="Friday"/>
    <x v="1"/>
  </r>
  <r>
    <x v="191"/>
    <d v="2025-03-31T00:00:00"/>
    <x v="1"/>
    <x v="1"/>
    <n v="100"/>
    <n v="3"/>
    <n v="300"/>
    <x v="4"/>
    <x v="3"/>
    <x v="4"/>
    <s v="Pending"/>
    <s v="Headphones"/>
    <s v="Electronics"/>
    <s v="Sophia Miller"/>
    <s v="Dallas"/>
    <s v="Gift Card"/>
    <s v="Pending"/>
    <b v="1"/>
    <x v="0"/>
    <s v="Monday"/>
    <x v="1"/>
  </r>
  <r>
    <x v="192"/>
    <d v="2025-03-30T00:00:00"/>
    <x v="5"/>
    <x v="3"/>
    <n v="15"/>
    <n v="5"/>
    <n v="75"/>
    <x v="5"/>
    <x v="9"/>
    <x v="1"/>
    <s v="Pending"/>
    <s v="Book"/>
    <s v="Books"/>
    <s v="David Lee"/>
    <s v="Chicago"/>
    <s v="Amazon Pay"/>
    <s v="Pending"/>
    <b v="1"/>
    <x v="0"/>
    <s v="Sunday"/>
    <x v="1"/>
  </r>
  <r>
    <x v="193"/>
    <d v="2025-02-20T00:00:00"/>
    <x v="6"/>
    <x v="2"/>
    <n v="40"/>
    <n v="4"/>
    <n v="160"/>
    <x v="2"/>
    <x v="1"/>
    <x v="0"/>
    <s v="Cancelled"/>
    <s v="Jeans"/>
    <s v="Clothing"/>
    <s v="John Doe"/>
    <s v="San Francisco"/>
    <s v="Debit Card"/>
    <s v="Cancelled"/>
    <b v="1"/>
    <x v="1"/>
    <s v="Thursday"/>
    <x v="0"/>
  </r>
  <r>
    <x v="194"/>
    <d v="2025-03-10T00:00:00"/>
    <x v="4"/>
    <x v="1"/>
    <n v="500"/>
    <n v="3"/>
    <n v="1500"/>
    <x v="3"/>
    <x v="2"/>
    <x v="4"/>
    <s v="Cancelled"/>
    <s v="Smartphone"/>
    <s v="Electronics"/>
    <s v="Olivia Wilson"/>
    <s v="Denver"/>
    <s v="Gift Card"/>
    <s v="Cancelled"/>
    <b v="1"/>
    <x v="0"/>
    <s v="Monday"/>
    <x v="0"/>
  </r>
  <r>
    <x v="195"/>
    <d v="2025-03-04T00:00:00"/>
    <x v="1"/>
    <x v="1"/>
    <n v="100"/>
    <n v="5"/>
    <n v="500"/>
    <x v="7"/>
    <x v="7"/>
    <x v="0"/>
    <s v="Pending"/>
    <s v="Headphones"/>
    <s v="Electronics"/>
    <s v="Daniel Harris"/>
    <s v="Seattle"/>
    <s v="Debit Card"/>
    <s v="Pending"/>
    <b v="1"/>
    <x v="0"/>
    <s v="Tuesday"/>
    <x v="1"/>
  </r>
  <r>
    <x v="196"/>
    <d v="2025-03-12T00:00:00"/>
    <x v="0"/>
    <x v="0"/>
    <n v="60"/>
    <n v="2"/>
    <n v="120"/>
    <x v="6"/>
    <x v="2"/>
    <x v="4"/>
    <s v="Completed"/>
    <s v="Running Shoes"/>
    <s v="Footwear"/>
    <s v="Michael Brown"/>
    <s v="Denver"/>
    <s v="Gift Card"/>
    <s v="Completed"/>
    <b v="1"/>
    <x v="0"/>
    <s v="Wednesday"/>
    <x v="2"/>
  </r>
  <r>
    <x v="197"/>
    <d v="2025-02-20T00:00:00"/>
    <x v="7"/>
    <x v="1"/>
    <n v="800"/>
    <n v="4"/>
    <n v="3200"/>
    <x v="9"/>
    <x v="7"/>
    <x v="1"/>
    <s v="Pending"/>
    <s v="Laptop"/>
    <s v="Electronics"/>
    <s v="Jane Smith"/>
    <s v="Seattle"/>
    <s v="Amazon Pay"/>
    <s v="Pending"/>
    <b v="1"/>
    <x v="1"/>
    <s v="Thursday"/>
    <x v="1"/>
  </r>
  <r>
    <x v="198"/>
    <d v="2025-02-22T00:00:00"/>
    <x v="4"/>
    <x v="1"/>
    <n v="500"/>
    <n v="3"/>
    <n v="1500"/>
    <x v="8"/>
    <x v="3"/>
    <x v="2"/>
    <s v="Completed"/>
    <s v="Smartphone"/>
    <s v="Electronics"/>
    <s v="Chris White"/>
    <s v="Dallas"/>
    <s v="Credit Card"/>
    <s v="Completed"/>
    <b v="1"/>
    <x v="1"/>
    <s v="Saturday"/>
    <x v="2"/>
  </r>
  <r>
    <x v="199"/>
    <d v="2025-02-10T00:00:00"/>
    <x v="5"/>
    <x v="3"/>
    <n v="15"/>
    <n v="2"/>
    <n v="30"/>
    <x v="8"/>
    <x v="8"/>
    <x v="0"/>
    <s v="Completed"/>
    <s v="Book"/>
    <s v="Books"/>
    <s v="Chris White"/>
    <s v="Los Angeles"/>
    <s v="Debit Card"/>
    <s v="Completed"/>
    <b v="1"/>
    <x v="1"/>
    <s v="Monday"/>
    <x v="2"/>
  </r>
  <r>
    <x v="200"/>
    <d v="2025-02-03T00:00:00"/>
    <x v="5"/>
    <x v="3"/>
    <n v="15"/>
    <n v="4"/>
    <n v="60"/>
    <x v="6"/>
    <x v="1"/>
    <x v="2"/>
    <s v="Completed"/>
    <s v="Book"/>
    <s v="Books"/>
    <s v="Michael Brown"/>
    <s v="San Francisco"/>
    <s v="Credit Card"/>
    <s v="Completed"/>
    <b v="1"/>
    <x v="1"/>
    <s v="Monday"/>
    <x v="2"/>
  </r>
  <r>
    <x v="201"/>
    <d v="2025-02-21T00:00:00"/>
    <x v="4"/>
    <x v="1"/>
    <n v="500"/>
    <n v="2"/>
    <n v="1000"/>
    <x v="7"/>
    <x v="5"/>
    <x v="2"/>
    <s v="Cancelled"/>
    <s v="Smartphone"/>
    <s v="Electronics"/>
    <s v="Daniel Harris"/>
    <s v="Miami"/>
    <s v="Credit Card"/>
    <s v="Cancelled"/>
    <b v="1"/>
    <x v="1"/>
    <s v="Friday"/>
    <x v="0"/>
  </r>
  <r>
    <x v="202"/>
    <d v="2025-02-21T00:00:00"/>
    <x v="9"/>
    <x v="4"/>
    <n v="1200"/>
    <n v="3"/>
    <n v="3600"/>
    <x v="2"/>
    <x v="3"/>
    <x v="0"/>
    <s v="Completed"/>
    <s v="Refrigerator"/>
    <s v="Home Appliances"/>
    <s v="John Doe"/>
    <s v="Dallas"/>
    <s v="Debit Card"/>
    <s v="Completed"/>
    <b v="1"/>
    <x v="1"/>
    <s v="Friday"/>
    <x v="2"/>
  </r>
  <r>
    <x v="203"/>
    <d v="2025-03-08T00:00:00"/>
    <x v="0"/>
    <x v="0"/>
    <n v="60"/>
    <n v="5"/>
    <n v="300"/>
    <x v="9"/>
    <x v="5"/>
    <x v="4"/>
    <s v="Pending"/>
    <s v="Running Shoes"/>
    <s v="Footwear"/>
    <s v="Jane Smith"/>
    <s v="Miami"/>
    <s v="Gift Card"/>
    <s v="Pending"/>
    <b v="1"/>
    <x v="0"/>
    <s v="Saturday"/>
    <x v="1"/>
  </r>
  <r>
    <x v="204"/>
    <d v="2025-02-27T00:00:00"/>
    <x v="1"/>
    <x v="1"/>
    <n v="100"/>
    <n v="2"/>
    <n v="200"/>
    <x v="5"/>
    <x v="4"/>
    <x v="3"/>
    <s v="Completed"/>
    <s v="Headphones"/>
    <s v="Electronics"/>
    <s v="David Lee"/>
    <s v="Houston"/>
    <s v="Paypal"/>
    <s v="Completed"/>
    <b v="1"/>
    <x v="1"/>
    <s v="Thursday"/>
    <x v="2"/>
  </r>
  <r>
    <x v="205"/>
    <d v="2025-02-12T00:00:00"/>
    <x v="8"/>
    <x v="4"/>
    <n v="600"/>
    <n v="5"/>
    <n v="3000"/>
    <x v="0"/>
    <x v="5"/>
    <x v="1"/>
    <s v="Pending"/>
    <s v="Washing Machine"/>
    <s v="Home Appliances"/>
    <s v="Emma Clark"/>
    <s v="Miami"/>
    <s v="Amazon Pay"/>
    <s v="Pending"/>
    <b v="1"/>
    <x v="1"/>
    <s v="Wednesday"/>
    <x v="1"/>
  </r>
  <r>
    <x v="206"/>
    <d v="2025-03-21T00:00:00"/>
    <x v="8"/>
    <x v="4"/>
    <n v="600"/>
    <n v="1"/>
    <n v="600"/>
    <x v="2"/>
    <x v="5"/>
    <x v="2"/>
    <s v="Completed"/>
    <s v="Washing Machine"/>
    <s v="Home Appliances"/>
    <s v="John Doe"/>
    <s v="Miami"/>
    <s v="Credit Card"/>
    <s v="Completed"/>
    <b v="1"/>
    <x v="0"/>
    <s v="Friday"/>
    <x v="2"/>
  </r>
  <r>
    <x v="207"/>
    <d v="2025-02-02T00:00:00"/>
    <x v="9"/>
    <x v="4"/>
    <n v="1200"/>
    <n v="3"/>
    <n v="3600"/>
    <x v="2"/>
    <x v="5"/>
    <x v="3"/>
    <s v="Completed"/>
    <s v="Refrigerator"/>
    <s v="Home Appliances"/>
    <s v="John Doe"/>
    <s v="Miami"/>
    <s v="Paypal"/>
    <s v="Completed"/>
    <b v="1"/>
    <x v="1"/>
    <s v="Sunday"/>
    <x v="2"/>
  </r>
  <r>
    <x v="208"/>
    <d v="2025-03-29T00:00:00"/>
    <x v="6"/>
    <x v="2"/>
    <n v="40"/>
    <n v="5"/>
    <n v="200"/>
    <x v="7"/>
    <x v="3"/>
    <x v="3"/>
    <s v="Completed"/>
    <s v="Jeans"/>
    <s v="Clothing"/>
    <s v="Daniel Harris"/>
    <s v="Dallas"/>
    <s v="Paypal"/>
    <s v="Completed"/>
    <b v="1"/>
    <x v="0"/>
    <s v="Saturday"/>
    <x v="2"/>
  </r>
  <r>
    <x v="209"/>
    <d v="2025-03-23T00:00:00"/>
    <x v="7"/>
    <x v="1"/>
    <n v="800"/>
    <n v="3"/>
    <n v="2400"/>
    <x v="9"/>
    <x v="0"/>
    <x v="3"/>
    <s v="Completed"/>
    <s v="Laptop"/>
    <s v="Electronics"/>
    <s v="Jane Smith"/>
    <s v="New York"/>
    <s v="Paypal"/>
    <s v="Completed"/>
    <b v="1"/>
    <x v="0"/>
    <s v="Sunday"/>
    <x v="2"/>
  </r>
  <r>
    <x v="210"/>
    <d v="2025-03-13T00:00:00"/>
    <x v="4"/>
    <x v="1"/>
    <n v="500"/>
    <n v="1"/>
    <n v="500"/>
    <x v="5"/>
    <x v="5"/>
    <x v="4"/>
    <s v="Pending"/>
    <s v="Smartphone"/>
    <s v="Electronics"/>
    <s v="David Lee"/>
    <s v="Miami"/>
    <s v="Gift Card"/>
    <s v="Pending"/>
    <b v="1"/>
    <x v="0"/>
    <s v="Thursday"/>
    <x v="1"/>
  </r>
  <r>
    <x v="211"/>
    <d v="2025-03-09T00:00:00"/>
    <x v="3"/>
    <x v="2"/>
    <n v="20"/>
    <n v="4"/>
    <n v="80"/>
    <x v="0"/>
    <x v="4"/>
    <x v="0"/>
    <s v="Completed"/>
    <s v="T-Shirt"/>
    <s v="Clothing"/>
    <s v="Emma Clark"/>
    <s v="Houston"/>
    <s v="Debit Card"/>
    <s v="Completed"/>
    <b v="1"/>
    <x v="0"/>
    <s v="Sunday"/>
    <x v="2"/>
  </r>
  <r>
    <x v="212"/>
    <d v="2025-02-06T00:00:00"/>
    <x v="7"/>
    <x v="1"/>
    <n v="800"/>
    <n v="1"/>
    <n v="800"/>
    <x v="9"/>
    <x v="8"/>
    <x v="1"/>
    <s v="Cancelled"/>
    <s v="Laptop"/>
    <s v="Electronics"/>
    <s v="Jane Smith"/>
    <s v="Los Angeles"/>
    <s v="Amazon Pay"/>
    <s v="Cancelled"/>
    <b v="1"/>
    <x v="1"/>
    <s v="Thursday"/>
    <x v="0"/>
  </r>
  <r>
    <x v="213"/>
    <d v="2025-02-18T00:00:00"/>
    <x v="2"/>
    <x v="1"/>
    <n v="150"/>
    <n v="5"/>
    <n v="750"/>
    <x v="1"/>
    <x v="4"/>
    <x v="0"/>
    <s v="Completed"/>
    <s v="Smartwatch"/>
    <s v="Electronics"/>
    <s v="Emily Johnson"/>
    <s v="Houston"/>
    <s v="Debit Card"/>
    <s v="Completed"/>
    <b v="1"/>
    <x v="1"/>
    <s v="Tuesday"/>
    <x v="2"/>
  </r>
  <r>
    <x v="214"/>
    <d v="2025-03-07T00:00:00"/>
    <x v="0"/>
    <x v="0"/>
    <n v="60"/>
    <n v="1"/>
    <n v="60"/>
    <x v="0"/>
    <x v="4"/>
    <x v="3"/>
    <s v="Completed"/>
    <s v="Running Shoes"/>
    <s v="Footwear"/>
    <s v="Emma Clark"/>
    <s v="Houston"/>
    <s v="Paypal"/>
    <s v="Completed"/>
    <b v="1"/>
    <x v="0"/>
    <s v="Friday"/>
    <x v="2"/>
  </r>
  <r>
    <x v="215"/>
    <d v="2025-03-26T00:00:00"/>
    <x v="6"/>
    <x v="2"/>
    <n v="40"/>
    <n v="2"/>
    <n v="80"/>
    <x v="8"/>
    <x v="9"/>
    <x v="2"/>
    <s v="Completed"/>
    <s v="Jeans"/>
    <s v="Clothing"/>
    <s v="Chris White"/>
    <s v="Chicago"/>
    <s v="Credit Card"/>
    <s v="Completed"/>
    <b v="1"/>
    <x v="0"/>
    <s v="Wednesday"/>
    <x v="2"/>
  </r>
  <r>
    <x v="216"/>
    <d v="2025-03-19T00:00:00"/>
    <x v="0"/>
    <x v="0"/>
    <n v="60"/>
    <n v="2"/>
    <n v="120"/>
    <x v="0"/>
    <x v="6"/>
    <x v="4"/>
    <s v="Pending"/>
    <s v="Running Shoes"/>
    <s v="Footwear"/>
    <s v="Emma Clark"/>
    <s v="Boston"/>
    <s v="Gift Card"/>
    <s v="Pending"/>
    <b v="1"/>
    <x v="0"/>
    <s v="Wednesday"/>
    <x v="1"/>
  </r>
  <r>
    <x v="217"/>
    <d v="2025-02-15T00:00:00"/>
    <x v="1"/>
    <x v="1"/>
    <n v="100"/>
    <n v="4"/>
    <n v="400"/>
    <x v="7"/>
    <x v="0"/>
    <x v="4"/>
    <s v="Cancelled"/>
    <s v="Headphones"/>
    <s v="Electronics"/>
    <s v="Daniel Harris"/>
    <s v="New York"/>
    <s v="Gift Card"/>
    <s v="Cancelled"/>
    <b v="1"/>
    <x v="1"/>
    <s v="Saturday"/>
    <x v="0"/>
  </r>
  <r>
    <x v="218"/>
    <d v="2025-02-17T00:00:00"/>
    <x v="1"/>
    <x v="1"/>
    <n v="100"/>
    <n v="3"/>
    <n v="300"/>
    <x v="5"/>
    <x v="4"/>
    <x v="3"/>
    <s v="Cancelled"/>
    <s v="Headphones"/>
    <s v="Electronics"/>
    <s v="David Lee"/>
    <s v="Houston"/>
    <s v="Paypal"/>
    <s v="Cancelled"/>
    <b v="1"/>
    <x v="1"/>
    <s v="Monday"/>
    <x v="0"/>
  </r>
  <r>
    <x v="219"/>
    <d v="2025-02-10T00:00:00"/>
    <x v="2"/>
    <x v="1"/>
    <n v="150"/>
    <n v="3"/>
    <n v="450"/>
    <x v="6"/>
    <x v="2"/>
    <x v="0"/>
    <s v="Completed"/>
    <s v="Smartwatch"/>
    <s v="Electronics"/>
    <s v="Michael Brown"/>
    <s v="Denver"/>
    <s v="Debit Card"/>
    <s v="Completed"/>
    <b v="1"/>
    <x v="1"/>
    <s v="Monday"/>
    <x v="2"/>
  </r>
  <r>
    <x v="220"/>
    <d v="2025-02-28T00:00:00"/>
    <x v="8"/>
    <x v="4"/>
    <n v="600"/>
    <n v="2"/>
    <n v="1200"/>
    <x v="1"/>
    <x v="9"/>
    <x v="4"/>
    <s v="Cancelled"/>
    <s v="Washing Machine"/>
    <s v="Home Appliances"/>
    <s v="Emily Johnson"/>
    <s v="Chicago"/>
    <s v="Gift Card"/>
    <s v="Cancelled"/>
    <b v="1"/>
    <x v="1"/>
    <s v="Friday"/>
    <x v="0"/>
  </r>
  <r>
    <x v="221"/>
    <d v="2025-02-16T00:00:00"/>
    <x v="8"/>
    <x v="4"/>
    <n v="600"/>
    <n v="2"/>
    <n v="1200"/>
    <x v="8"/>
    <x v="7"/>
    <x v="3"/>
    <s v="Cancelled"/>
    <s v="Washing Machine"/>
    <s v="Home Appliances"/>
    <s v="Chris White"/>
    <s v="Seattle"/>
    <s v="Paypal"/>
    <s v="Cancelled"/>
    <b v="1"/>
    <x v="1"/>
    <s v="Sunday"/>
    <x v="0"/>
  </r>
  <r>
    <x v="222"/>
    <d v="2025-03-24T00:00:00"/>
    <x v="6"/>
    <x v="2"/>
    <n v="40"/>
    <n v="2"/>
    <n v="80"/>
    <x v="5"/>
    <x v="2"/>
    <x v="1"/>
    <s v="Cancelled"/>
    <s v="Jeans"/>
    <s v="Clothing"/>
    <s v="David Lee"/>
    <s v="Denver"/>
    <s v="Amazon Pay"/>
    <s v="Cancelled"/>
    <b v="1"/>
    <x v="0"/>
    <s v="Monday"/>
    <x v="0"/>
  </r>
  <r>
    <x v="223"/>
    <d v="2025-03-18T00:00:00"/>
    <x v="9"/>
    <x v="4"/>
    <n v="1200"/>
    <n v="1"/>
    <n v="1200"/>
    <x v="9"/>
    <x v="5"/>
    <x v="3"/>
    <s v="Completed"/>
    <s v="Refrigerator"/>
    <s v="Home Appliances"/>
    <s v="Jane Smith"/>
    <s v="Miami"/>
    <s v="Paypal"/>
    <s v="Completed"/>
    <b v="1"/>
    <x v="0"/>
    <s v="Tuesday"/>
    <x v="2"/>
  </r>
  <r>
    <x v="224"/>
    <d v="2025-03-11T00:00:00"/>
    <x v="6"/>
    <x v="2"/>
    <n v="40"/>
    <n v="1"/>
    <n v="40"/>
    <x v="4"/>
    <x v="0"/>
    <x v="4"/>
    <s v="Cancelled"/>
    <s v="Jeans"/>
    <s v="Clothing"/>
    <s v="Sophia Miller"/>
    <s v="New York"/>
    <s v="Gift Card"/>
    <s v="Cancelled"/>
    <b v="1"/>
    <x v="0"/>
    <s v="Tuesday"/>
    <x v="0"/>
  </r>
  <r>
    <x v="225"/>
    <d v="2025-03-05T00:00:00"/>
    <x v="0"/>
    <x v="0"/>
    <n v="60"/>
    <n v="4"/>
    <n v="240"/>
    <x v="8"/>
    <x v="9"/>
    <x v="1"/>
    <s v="Completed"/>
    <s v="Running Shoes"/>
    <s v="Footwear"/>
    <s v="Chris White"/>
    <s v="Chicago"/>
    <s v="Amazon Pay"/>
    <s v="Completed"/>
    <b v="1"/>
    <x v="0"/>
    <s v="Wednesday"/>
    <x v="2"/>
  </r>
  <r>
    <x v="226"/>
    <d v="2025-04-02T00:00:00"/>
    <x v="1"/>
    <x v="1"/>
    <n v="100"/>
    <n v="5"/>
    <n v="500"/>
    <x v="0"/>
    <x v="5"/>
    <x v="1"/>
    <s v="Cancelled"/>
    <s v="Headphones"/>
    <s v="Electronics"/>
    <s v="Emma Clark"/>
    <s v="Miami"/>
    <s v="Amazon Pay"/>
    <s v="Cancelled"/>
    <b v="1"/>
    <x v="2"/>
    <s v="Wednesday"/>
    <x v="0"/>
  </r>
  <r>
    <x v="227"/>
    <d v="2025-02-12T00:00:00"/>
    <x v="0"/>
    <x v="0"/>
    <n v="60"/>
    <n v="1"/>
    <n v="60"/>
    <x v="5"/>
    <x v="1"/>
    <x v="2"/>
    <s v="Pending"/>
    <s v="Running Shoes"/>
    <s v="Footwear"/>
    <s v="David Lee"/>
    <s v="San Francisco"/>
    <s v="Credit Card"/>
    <s v="Pending"/>
    <b v="1"/>
    <x v="1"/>
    <s v="Wednesday"/>
    <x v="1"/>
  </r>
  <r>
    <x v="228"/>
    <d v="2025-03-21T00:00:00"/>
    <x v="0"/>
    <x v="0"/>
    <n v="60"/>
    <n v="3"/>
    <n v="180"/>
    <x v="0"/>
    <x v="1"/>
    <x v="2"/>
    <s v="Pending"/>
    <s v="Running Shoes"/>
    <s v="Footwear"/>
    <s v="Emma Clark"/>
    <s v="San Francisco"/>
    <s v="Credit Card"/>
    <s v="Pending"/>
    <b v="1"/>
    <x v="0"/>
    <s v="Friday"/>
    <x v="1"/>
  </r>
  <r>
    <x v="229"/>
    <d v="2025-03-31T00:00:00"/>
    <x v="1"/>
    <x v="1"/>
    <n v="100"/>
    <n v="4"/>
    <n v="400"/>
    <x v="9"/>
    <x v="1"/>
    <x v="1"/>
    <s v="Pending"/>
    <s v="Headphones"/>
    <s v="Electronics"/>
    <s v="Jane Smith"/>
    <s v="San Francisco"/>
    <s v="Amazon Pay"/>
    <s v="Pending"/>
    <b v="1"/>
    <x v="0"/>
    <s v="Monday"/>
    <x v="1"/>
  </r>
  <r>
    <x v="230"/>
    <d v="2025-02-16T00:00:00"/>
    <x v="7"/>
    <x v="1"/>
    <n v="800"/>
    <n v="5"/>
    <n v="4000"/>
    <x v="9"/>
    <x v="6"/>
    <x v="2"/>
    <s v="Cancelled"/>
    <s v="Laptop"/>
    <s v="Electronics"/>
    <s v="Jane Smith"/>
    <s v="Boston"/>
    <s v="Credit Card"/>
    <s v="Cancelled"/>
    <b v="1"/>
    <x v="1"/>
    <s v="Sunday"/>
    <x v="0"/>
  </r>
  <r>
    <x v="231"/>
    <d v="2025-03-14T00:00:00"/>
    <x v="9"/>
    <x v="4"/>
    <n v="1200"/>
    <n v="3"/>
    <n v="3600"/>
    <x v="0"/>
    <x v="8"/>
    <x v="2"/>
    <s v="Completed"/>
    <s v="Refrigerator"/>
    <s v="Home Appliances"/>
    <s v="Emma Clark"/>
    <s v="Los Angeles"/>
    <s v="Credit Card"/>
    <s v="Completed"/>
    <b v="1"/>
    <x v="0"/>
    <s v="Friday"/>
    <x v="2"/>
  </r>
  <r>
    <x v="232"/>
    <d v="2025-02-20T00:00:00"/>
    <x v="0"/>
    <x v="0"/>
    <n v="60"/>
    <n v="1"/>
    <n v="60"/>
    <x v="5"/>
    <x v="6"/>
    <x v="3"/>
    <s v="Cancelled"/>
    <s v="Running Shoes"/>
    <s v="Footwear"/>
    <s v="David Lee"/>
    <s v="Boston"/>
    <s v="Paypal"/>
    <s v="Cancelled"/>
    <b v="1"/>
    <x v="1"/>
    <s v="Thursday"/>
    <x v="0"/>
  </r>
  <r>
    <x v="233"/>
    <d v="2025-03-08T00:00:00"/>
    <x v="5"/>
    <x v="3"/>
    <n v="15"/>
    <n v="1"/>
    <n v="15"/>
    <x v="9"/>
    <x v="5"/>
    <x v="1"/>
    <s v="Cancelled"/>
    <s v="Book"/>
    <s v="Books"/>
    <s v="Jane Smith"/>
    <s v="Miami"/>
    <s v="Amazon Pay"/>
    <s v="Cancelled"/>
    <b v="1"/>
    <x v="0"/>
    <s v="Saturday"/>
    <x v="0"/>
  </r>
  <r>
    <x v="234"/>
    <d v="2025-03-23T00:00:00"/>
    <x v="9"/>
    <x v="4"/>
    <n v="1200"/>
    <n v="1"/>
    <n v="1200"/>
    <x v="7"/>
    <x v="3"/>
    <x v="3"/>
    <s v="Completed"/>
    <s v="Refrigerator"/>
    <s v="Home Appliances"/>
    <s v="Daniel Harris"/>
    <s v="Dallas"/>
    <s v="Paypal"/>
    <s v="Completed"/>
    <b v="1"/>
    <x v="0"/>
    <s v="Sunday"/>
    <x v="2"/>
  </r>
  <r>
    <x v="235"/>
    <d v="2025-03-05T00:00:00"/>
    <x v="4"/>
    <x v="1"/>
    <n v="500"/>
    <n v="5"/>
    <n v="2500"/>
    <x v="2"/>
    <x v="6"/>
    <x v="3"/>
    <s v="Completed"/>
    <s v="Smartphone"/>
    <s v="Electronics"/>
    <s v="John Doe"/>
    <s v="Boston"/>
    <s v="Paypal"/>
    <s v="Completed"/>
    <b v="1"/>
    <x v="0"/>
    <s v="Wednesday"/>
    <x v="2"/>
  </r>
  <r>
    <x v="236"/>
    <d v="2025-02-11T00:00:00"/>
    <x v="1"/>
    <x v="1"/>
    <n v="100"/>
    <n v="3"/>
    <n v="300"/>
    <x v="6"/>
    <x v="4"/>
    <x v="0"/>
    <s v="Cancelled"/>
    <s v="Headphones"/>
    <s v="Electronics"/>
    <s v="Michael Brown"/>
    <s v="Houston"/>
    <s v="Debit Card"/>
    <s v="Cancelled"/>
    <b v="1"/>
    <x v="1"/>
    <s v="Tuesday"/>
    <x v="0"/>
  </r>
  <r>
    <x v="237"/>
    <d v="2025-03-16T00:00:00"/>
    <x v="1"/>
    <x v="1"/>
    <n v="100"/>
    <n v="1"/>
    <n v="100"/>
    <x v="3"/>
    <x v="2"/>
    <x v="3"/>
    <s v="Completed"/>
    <s v="Headphones"/>
    <s v="Electronics"/>
    <s v="Olivia Wilson"/>
    <s v="Denver"/>
    <s v="Paypal"/>
    <s v="Completed"/>
    <b v="1"/>
    <x v="0"/>
    <s v="Sunday"/>
    <x v="2"/>
  </r>
  <r>
    <x v="238"/>
    <d v="2025-03-22T00:00:00"/>
    <x v="2"/>
    <x v="1"/>
    <n v="150"/>
    <n v="5"/>
    <n v="750"/>
    <x v="7"/>
    <x v="4"/>
    <x v="1"/>
    <s v="Completed"/>
    <s v="Smartwatch"/>
    <s v="Electronics"/>
    <s v="Daniel Harris"/>
    <s v="Houston"/>
    <s v="Amazon Pay"/>
    <s v="Completed"/>
    <b v="1"/>
    <x v="0"/>
    <s v="Saturday"/>
    <x v="2"/>
  </r>
  <r>
    <x v="239"/>
    <d v="2025-02-09T00:00:00"/>
    <x v="2"/>
    <x v="1"/>
    <n v="150"/>
    <n v="1"/>
    <n v="150"/>
    <x v="2"/>
    <x v="2"/>
    <x v="4"/>
    <s v="Pending"/>
    <s v="Smartwatch"/>
    <s v="Electronics"/>
    <s v="John Doe"/>
    <s v="Denver"/>
    <s v="Gift Card"/>
    <s v="Pending"/>
    <b v="1"/>
    <x v="1"/>
    <s v="Sunday"/>
    <x v="1"/>
  </r>
  <r>
    <x v="240"/>
    <d v="2025-03-30T00:00:00"/>
    <x v="4"/>
    <x v="1"/>
    <n v="500"/>
    <n v="4"/>
    <n v="2000"/>
    <x v="3"/>
    <x v="0"/>
    <x v="2"/>
    <s v="Pending"/>
    <s v="Smartphone"/>
    <s v="Electronics"/>
    <s v="Olivia Wilson"/>
    <s v="New York"/>
    <s v="Credit Card"/>
    <s v="Pending"/>
    <b v="1"/>
    <x v="0"/>
    <s v="Sunday"/>
    <x v="1"/>
  </r>
  <r>
    <x v="241"/>
    <d v="2025-03-08T00:00:00"/>
    <x v="4"/>
    <x v="1"/>
    <n v="500"/>
    <n v="4"/>
    <n v="2000"/>
    <x v="8"/>
    <x v="6"/>
    <x v="4"/>
    <s v="Pending"/>
    <s v="Smartphone"/>
    <s v="Electronics"/>
    <s v="Chris White"/>
    <s v="Boston"/>
    <s v="Gift Card"/>
    <s v="Pending"/>
    <b v="1"/>
    <x v="0"/>
    <s v="Saturday"/>
    <x v="1"/>
  </r>
  <r>
    <x v="242"/>
    <d v="2025-03-05T00:00:00"/>
    <x v="0"/>
    <x v="0"/>
    <n v="60"/>
    <n v="2"/>
    <n v="120"/>
    <x v="8"/>
    <x v="4"/>
    <x v="1"/>
    <s v="Completed"/>
    <s v="Running Shoes"/>
    <s v="Footwear"/>
    <s v="Chris White"/>
    <s v="Houston"/>
    <s v="Amazon Pay"/>
    <s v="Completed"/>
    <b v="1"/>
    <x v="0"/>
    <s v="Wednesday"/>
    <x v="2"/>
  </r>
  <r>
    <x v="243"/>
    <d v="2025-02-06T00:00:00"/>
    <x v="4"/>
    <x v="1"/>
    <n v="500"/>
    <n v="4"/>
    <n v="2000"/>
    <x v="0"/>
    <x v="4"/>
    <x v="2"/>
    <s v="Completed"/>
    <s v="Smartphone"/>
    <s v="Electronics"/>
    <s v="Emma Clark"/>
    <s v="Houston"/>
    <s v="Credit Card"/>
    <s v="Completed"/>
    <b v="1"/>
    <x v="1"/>
    <s v="Thursday"/>
    <x v="2"/>
  </r>
  <r>
    <x v="244"/>
    <d v="2025-02-04T00:00:00"/>
    <x v="7"/>
    <x v="1"/>
    <n v="800"/>
    <n v="1"/>
    <n v="800"/>
    <x v="6"/>
    <x v="8"/>
    <x v="2"/>
    <s v="Cancelled"/>
    <s v="Laptop"/>
    <s v="Electronics"/>
    <s v="Michael Brown"/>
    <s v="Los Angeles"/>
    <s v="Credit Card"/>
    <s v="Cancelled"/>
    <b v="1"/>
    <x v="1"/>
    <s v="Tuesday"/>
    <x v="0"/>
  </r>
  <r>
    <x v="245"/>
    <d v="2025-03-17T00:00:00"/>
    <x v="3"/>
    <x v="2"/>
    <n v="20"/>
    <n v="2"/>
    <n v="40"/>
    <x v="7"/>
    <x v="5"/>
    <x v="0"/>
    <s v="Cancelled"/>
    <s v="T-Shirt"/>
    <s v="Clothing"/>
    <s v="Daniel Harris"/>
    <s v="Miami"/>
    <s v="Debit Card"/>
    <s v="Cancelled"/>
    <b v="1"/>
    <x v="0"/>
    <s v="Monday"/>
    <x v="0"/>
  </r>
  <r>
    <x v="246"/>
    <d v="2025-03-30T00:00:00"/>
    <x v="6"/>
    <x v="2"/>
    <n v="40"/>
    <n v="1"/>
    <n v="40"/>
    <x v="4"/>
    <x v="3"/>
    <x v="0"/>
    <s v="Cancelled"/>
    <s v="Jeans"/>
    <s v="Clothing"/>
    <s v="Sophia Miller"/>
    <s v="Dallas"/>
    <s v="Debit Card"/>
    <s v="Cancelled"/>
    <b v="1"/>
    <x v="0"/>
    <s v="Sunday"/>
    <x v="0"/>
  </r>
  <r>
    <x v="247"/>
    <d v="2025-03-05T00:00:00"/>
    <x v="3"/>
    <x v="2"/>
    <n v="20"/>
    <n v="2"/>
    <n v="40"/>
    <x v="8"/>
    <x v="2"/>
    <x v="0"/>
    <s v="Cancelled"/>
    <s v="T-Shirt"/>
    <s v="Clothing"/>
    <s v="Chris White"/>
    <s v="Denver"/>
    <s v="Debit Card"/>
    <s v="Cancelled"/>
    <b v="1"/>
    <x v="0"/>
    <s v="Wednesday"/>
    <x v="0"/>
  </r>
  <r>
    <x v="248"/>
    <d v="2025-03-08T00:00:00"/>
    <x v="2"/>
    <x v="1"/>
    <n v="150"/>
    <n v="3"/>
    <n v="450"/>
    <x v="1"/>
    <x v="0"/>
    <x v="0"/>
    <s v="Cancelled"/>
    <s v="Smartwatch"/>
    <s v="Electronics"/>
    <s v="Emily Johnson"/>
    <s v="New York"/>
    <s v="Debit Card"/>
    <s v="Cancelled"/>
    <b v="1"/>
    <x v="0"/>
    <s v="Saturday"/>
    <x v="0"/>
  </r>
  <r>
    <x v="249"/>
    <d v="2025-02-19T00:00:00"/>
    <x v="4"/>
    <x v="1"/>
    <n v="500"/>
    <n v="4"/>
    <n v="2000"/>
    <x v="1"/>
    <x v="7"/>
    <x v="1"/>
    <s v="Completed"/>
    <s v="Smartphone"/>
    <s v="Electronics"/>
    <s v="Emily Johnson"/>
    <s v="Seattle"/>
    <s v="Amazon Pay"/>
    <s v="Completed"/>
    <b v="1"/>
    <x v="1"/>
    <s v="Wednesday"/>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A175B6-57EB-4682-BE05-D0CBE74A624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Category">
  <location ref="A3:B9" firstHeaderRow="1" firstDataRow="1" firstDataCol="1"/>
  <pivotFields count="21">
    <pivotField showAll="0"/>
    <pivotField numFmtId="14" showAll="0"/>
    <pivotField showAll="0"/>
    <pivotField axis="axisRow" showAll="0">
      <items count="6">
        <item x="3"/>
        <item x="2"/>
        <item x="1"/>
        <item x="0"/>
        <item x="4"/>
        <item t="default"/>
      </items>
    </pivotField>
    <pivotField numFmtId="2" showAll="0"/>
    <pivotField numFmtId="1" showAll="0"/>
    <pivotField dataField="1"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6">
    <i>
      <x/>
    </i>
    <i>
      <x v="1"/>
    </i>
    <i>
      <x v="2"/>
    </i>
    <i>
      <x v="3"/>
    </i>
    <i>
      <x v="4"/>
    </i>
    <i t="grand">
      <x/>
    </i>
  </rowItems>
  <colItems count="1">
    <i/>
  </colItems>
  <dataFields count="1">
    <dataField name="Total Sales" fld="6" baseField="0" baseItem="0" numFmtId="2"/>
  </dataFields>
  <formats count="12">
    <format dxfId="83">
      <pivotArea type="all" dataOnly="0" outline="0" fieldPosition="0"/>
    </format>
    <format dxfId="82">
      <pivotArea outline="0" collapsedLevelsAreSubtotals="1" fieldPosition="0"/>
    </format>
    <format dxfId="81">
      <pivotArea field="3" type="button" dataOnly="0" labelOnly="1" outline="0" axis="axisRow" fieldPosition="0"/>
    </format>
    <format dxfId="80">
      <pivotArea dataOnly="0" labelOnly="1" fieldPosition="0">
        <references count="1">
          <reference field="3" count="0"/>
        </references>
      </pivotArea>
    </format>
    <format dxfId="79">
      <pivotArea dataOnly="0" labelOnly="1" grandRow="1" outline="0" fieldPosition="0"/>
    </format>
    <format dxfId="78">
      <pivotArea dataOnly="0" labelOnly="1" outline="0" axis="axisValues" fieldPosition="0"/>
    </format>
    <format dxfId="41">
      <pivotArea type="all" dataOnly="0" outline="0" fieldPosition="0"/>
    </format>
    <format dxfId="40">
      <pivotArea outline="0" collapsedLevelsAreSubtotals="1" fieldPosition="0"/>
    </format>
    <format dxfId="39">
      <pivotArea field="3" type="button" dataOnly="0" labelOnly="1" outline="0" axis="axisRow" fieldPosition="0"/>
    </format>
    <format dxfId="38">
      <pivotArea dataOnly="0" labelOnly="1" fieldPosition="0">
        <references count="1">
          <reference field="3" count="0"/>
        </references>
      </pivotArea>
    </format>
    <format dxfId="37">
      <pivotArea dataOnly="0" labelOnly="1" grandRow="1" outline="0" fieldPosition="0"/>
    </format>
    <format dxfId="36">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84420F-FDC3-4C27-A926-81BE5955563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Customer Name">
  <location ref="G19:H30" firstHeaderRow="1" firstDataRow="1" firstDataCol="1"/>
  <pivotFields count="21">
    <pivotField showAll="0"/>
    <pivotField numFmtId="14" showAll="0"/>
    <pivotField showAll="0"/>
    <pivotField showAll="0"/>
    <pivotField numFmtId="2" showAll="0"/>
    <pivotField numFmtId="1" showAll="0"/>
    <pivotField dataField="1" numFmtId="2" showAll="0"/>
    <pivotField axis="axisRow" showAll="0" sortType="descending">
      <items count="11">
        <item x="8"/>
        <item x="7"/>
        <item x="5"/>
        <item x="1"/>
        <item x="0"/>
        <item x="9"/>
        <item x="2"/>
        <item x="6"/>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11">
    <i>
      <x v="8"/>
    </i>
    <i>
      <x v="5"/>
    </i>
    <i>
      <x v="4"/>
    </i>
    <i>
      <x v="6"/>
    </i>
    <i>
      <x v="3"/>
    </i>
    <i>
      <x v="2"/>
    </i>
    <i>
      <x v="7"/>
    </i>
    <i>
      <x v="1"/>
    </i>
    <i>
      <x/>
    </i>
    <i>
      <x v="9"/>
    </i>
    <i t="grand">
      <x/>
    </i>
  </rowItems>
  <colItems count="1">
    <i/>
  </colItems>
  <dataFields count="1">
    <dataField name="Sum of Total Sales" fld="6" baseField="0" baseItem="0" numFmtId="2"/>
  </dataFields>
  <formats count="12">
    <format dxfId="76">
      <pivotArea type="all" dataOnly="0" outline="0" fieldPosition="0"/>
    </format>
    <format dxfId="75">
      <pivotArea outline="0" collapsedLevelsAreSubtotals="1" fieldPosition="0"/>
    </format>
    <format dxfId="74">
      <pivotArea field="7" type="button" dataOnly="0" labelOnly="1" outline="0" axis="axisRow" fieldPosition="0"/>
    </format>
    <format dxfId="73">
      <pivotArea dataOnly="0" labelOnly="1" fieldPosition="0">
        <references count="1">
          <reference field="7" count="0"/>
        </references>
      </pivotArea>
    </format>
    <format dxfId="72">
      <pivotArea dataOnly="0" labelOnly="1" grandRow="1" outline="0" fieldPosition="0"/>
    </format>
    <format dxfId="71">
      <pivotArea dataOnly="0" labelOnly="1" outline="0" axis="axisValues" fieldPosition="0"/>
    </format>
    <format dxfId="34">
      <pivotArea type="all" dataOnly="0" outline="0" fieldPosition="0"/>
    </format>
    <format dxfId="33">
      <pivotArea outline="0" collapsedLevelsAreSubtotals="1" fieldPosition="0"/>
    </format>
    <format dxfId="32">
      <pivotArea field="7" type="button" dataOnly="0" labelOnly="1" outline="0" axis="axisRow" fieldPosition="0"/>
    </format>
    <format dxfId="31">
      <pivotArea dataOnly="0" labelOnly="1" fieldPosition="0">
        <references count="1">
          <reference field="7" count="0"/>
        </references>
      </pivotArea>
    </format>
    <format dxfId="30">
      <pivotArea dataOnly="0" labelOnly="1" grandRow="1" outline="0" fieldPosition="0"/>
    </format>
    <format dxfId="29">
      <pivotArea dataOnly="0" labelOnly="1" outline="0" axis="axisValues" fieldPosition="0"/>
    </format>
  </formats>
  <chartFormats count="50">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7" count="1" selected="0">
            <x v="8"/>
          </reference>
        </references>
      </pivotArea>
    </chartFormat>
    <chartFormat chart="4" format="14">
      <pivotArea type="data" outline="0" fieldPosition="0">
        <references count="2">
          <reference field="4294967294" count="1" selected="0">
            <x v="0"/>
          </reference>
          <reference field="7" count="1" selected="0">
            <x v="5"/>
          </reference>
        </references>
      </pivotArea>
    </chartFormat>
    <chartFormat chart="4" format="15">
      <pivotArea type="data" outline="0" fieldPosition="0">
        <references count="2">
          <reference field="4294967294" count="1" selected="0">
            <x v="0"/>
          </reference>
          <reference field="7" count="1" selected="0">
            <x v="4"/>
          </reference>
        </references>
      </pivotArea>
    </chartFormat>
    <chartFormat chart="4" format="16">
      <pivotArea type="data" outline="0" fieldPosition="0">
        <references count="2">
          <reference field="4294967294" count="1" selected="0">
            <x v="0"/>
          </reference>
          <reference field="7" count="1" selected="0">
            <x v="6"/>
          </reference>
        </references>
      </pivotArea>
    </chartFormat>
    <chartFormat chart="4" format="17">
      <pivotArea type="data" outline="0" fieldPosition="0">
        <references count="2">
          <reference field="4294967294" count="1" selected="0">
            <x v="0"/>
          </reference>
          <reference field="7" count="1" selected="0">
            <x v="3"/>
          </reference>
        </references>
      </pivotArea>
    </chartFormat>
    <chartFormat chart="4" format="18">
      <pivotArea type="data" outline="0" fieldPosition="0">
        <references count="2">
          <reference field="4294967294" count="1" selected="0">
            <x v="0"/>
          </reference>
          <reference field="7" count="1" selected="0">
            <x v="2"/>
          </reference>
        </references>
      </pivotArea>
    </chartFormat>
    <chartFormat chart="4" format="19">
      <pivotArea type="data" outline="0" fieldPosition="0">
        <references count="2">
          <reference field="4294967294" count="1" selected="0">
            <x v="0"/>
          </reference>
          <reference field="7" count="1" selected="0">
            <x v="7"/>
          </reference>
        </references>
      </pivotArea>
    </chartFormat>
    <chartFormat chart="4" format="20">
      <pivotArea type="data" outline="0" fieldPosition="0">
        <references count="2">
          <reference field="4294967294" count="1" selected="0">
            <x v="0"/>
          </reference>
          <reference field="7" count="1" selected="0">
            <x v="1"/>
          </reference>
        </references>
      </pivotArea>
    </chartFormat>
    <chartFormat chart="4" format="21">
      <pivotArea type="data" outline="0" fieldPosition="0">
        <references count="2">
          <reference field="4294967294" count="1" selected="0">
            <x v="0"/>
          </reference>
          <reference field="7" count="1" selected="0">
            <x v="0"/>
          </reference>
        </references>
      </pivotArea>
    </chartFormat>
    <chartFormat chart="4" format="22">
      <pivotArea type="data" outline="0" fieldPosition="0">
        <references count="2">
          <reference field="4294967294" count="1" selected="0">
            <x v="0"/>
          </reference>
          <reference field="7" count="1" selected="0">
            <x v="9"/>
          </reference>
        </references>
      </pivotArea>
    </chartFormat>
    <chartFormat chart="7" format="0" series="1">
      <pivotArea type="data" outline="0" fieldPosition="0">
        <references count="1">
          <reference field="4294967294" count="1" selected="0">
            <x v="0"/>
          </reference>
        </references>
      </pivotArea>
    </chartFormat>
    <chartFormat chart="9" format="12" series="1">
      <pivotArea type="data" outline="0" fieldPosition="0">
        <references count="1">
          <reference field="4294967294" count="1" selected="0">
            <x v="0"/>
          </reference>
        </references>
      </pivotArea>
    </chartFormat>
    <chartFormat chart="9" format="13">
      <pivotArea type="data" outline="0" fieldPosition="0">
        <references count="2">
          <reference field="4294967294" count="1" selected="0">
            <x v="0"/>
          </reference>
          <reference field="7" count="1" selected="0">
            <x v="8"/>
          </reference>
        </references>
      </pivotArea>
    </chartFormat>
    <chartFormat chart="9" format="14">
      <pivotArea type="data" outline="0" fieldPosition="0">
        <references count="2">
          <reference field="4294967294" count="1" selected="0">
            <x v="0"/>
          </reference>
          <reference field="7" count="1" selected="0">
            <x v="5"/>
          </reference>
        </references>
      </pivotArea>
    </chartFormat>
    <chartFormat chart="9" format="15">
      <pivotArea type="data" outline="0" fieldPosition="0">
        <references count="2">
          <reference field="4294967294" count="1" selected="0">
            <x v="0"/>
          </reference>
          <reference field="7" count="1" selected="0">
            <x v="4"/>
          </reference>
        </references>
      </pivotArea>
    </chartFormat>
    <chartFormat chart="9" format="16">
      <pivotArea type="data" outline="0" fieldPosition="0">
        <references count="2">
          <reference field="4294967294" count="1" selected="0">
            <x v="0"/>
          </reference>
          <reference field="7" count="1" selected="0">
            <x v="6"/>
          </reference>
        </references>
      </pivotArea>
    </chartFormat>
    <chartFormat chart="9" format="17">
      <pivotArea type="data" outline="0" fieldPosition="0">
        <references count="2">
          <reference field="4294967294" count="1" selected="0">
            <x v="0"/>
          </reference>
          <reference field="7" count="1" selected="0">
            <x v="3"/>
          </reference>
        </references>
      </pivotArea>
    </chartFormat>
    <chartFormat chart="9" format="18">
      <pivotArea type="data" outline="0" fieldPosition="0">
        <references count="2">
          <reference field="4294967294" count="1" selected="0">
            <x v="0"/>
          </reference>
          <reference field="7" count="1" selected="0">
            <x v="2"/>
          </reference>
        </references>
      </pivotArea>
    </chartFormat>
    <chartFormat chart="9" format="19">
      <pivotArea type="data" outline="0" fieldPosition="0">
        <references count="2">
          <reference field="4294967294" count="1" selected="0">
            <x v="0"/>
          </reference>
          <reference field="7" count="1" selected="0">
            <x v="7"/>
          </reference>
        </references>
      </pivotArea>
    </chartFormat>
    <chartFormat chart="9" format="20">
      <pivotArea type="data" outline="0" fieldPosition="0">
        <references count="2">
          <reference field="4294967294" count="1" selected="0">
            <x v="0"/>
          </reference>
          <reference field="7" count="1" selected="0">
            <x v="1"/>
          </reference>
        </references>
      </pivotArea>
    </chartFormat>
    <chartFormat chart="9" format="21">
      <pivotArea type="data" outline="0" fieldPosition="0">
        <references count="2">
          <reference field="4294967294" count="1" selected="0">
            <x v="0"/>
          </reference>
          <reference field="7" count="1" selected="0">
            <x v="0"/>
          </reference>
        </references>
      </pivotArea>
    </chartFormat>
    <chartFormat chart="9" format="22">
      <pivotArea type="data" outline="0" fieldPosition="0">
        <references count="2">
          <reference field="4294967294" count="1" selected="0">
            <x v="0"/>
          </reference>
          <reference field="7" count="1" selected="0">
            <x v="9"/>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8" format="2">
      <pivotArea type="data" outline="0" fieldPosition="0">
        <references count="2">
          <reference field="4294967294" count="1" selected="0">
            <x v="0"/>
          </reference>
          <reference field="7" count="1" selected="0">
            <x v="8"/>
          </reference>
        </references>
      </pivotArea>
    </chartFormat>
    <chartFormat chart="18" format="3">
      <pivotArea type="data" outline="0" fieldPosition="0">
        <references count="2">
          <reference field="4294967294" count="1" selected="0">
            <x v="0"/>
          </reference>
          <reference field="7" count="1" selected="0">
            <x v="5"/>
          </reference>
        </references>
      </pivotArea>
    </chartFormat>
    <chartFormat chart="18" format="4">
      <pivotArea type="data" outline="0" fieldPosition="0">
        <references count="2">
          <reference field="4294967294" count="1" selected="0">
            <x v="0"/>
          </reference>
          <reference field="7" count="1" selected="0">
            <x v="4"/>
          </reference>
        </references>
      </pivotArea>
    </chartFormat>
    <chartFormat chart="18" format="5">
      <pivotArea type="data" outline="0" fieldPosition="0">
        <references count="2">
          <reference field="4294967294" count="1" selected="0">
            <x v="0"/>
          </reference>
          <reference field="7" count="1" selected="0">
            <x v="6"/>
          </reference>
        </references>
      </pivotArea>
    </chartFormat>
    <chartFormat chart="18" format="6">
      <pivotArea type="data" outline="0" fieldPosition="0">
        <references count="2">
          <reference field="4294967294" count="1" selected="0">
            <x v="0"/>
          </reference>
          <reference field="7" count="1" selected="0">
            <x v="3"/>
          </reference>
        </references>
      </pivotArea>
    </chartFormat>
    <chartFormat chart="18" format="7">
      <pivotArea type="data" outline="0" fieldPosition="0">
        <references count="2">
          <reference field="4294967294" count="1" selected="0">
            <x v="0"/>
          </reference>
          <reference field="7" count="1" selected="0">
            <x v="2"/>
          </reference>
        </references>
      </pivotArea>
    </chartFormat>
    <chartFormat chart="18" format="8">
      <pivotArea type="data" outline="0" fieldPosition="0">
        <references count="2">
          <reference field="4294967294" count="1" selected="0">
            <x v="0"/>
          </reference>
          <reference field="7" count="1" selected="0">
            <x v="7"/>
          </reference>
        </references>
      </pivotArea>
    </chartFormat>
    <chartFormat chart="18" format="9">
      <pivotArea type="data" outline="0" fieldPosition="0">
        <references count="2">
          <reference field="4294967294" count="1" selected="0">
            <x v="0"/>
          </reference>
          <reference field="7" count="1" selected="0">
            <x v="1"/>
          </reference>
        </references>
      </pivotArea>
    </chartFormat>
    <chartFormat chart="18" format="10">
      <pivotArea type="data" outline="0" fieldPosition="0">
        <references count="2">
          <reference field="4294967294" count="1" selected="0">
            <x v="0"/>
          </reference>
          <reference field="7" count="1" selected="0">
            <x v="0"/>
          </reference>
        </references>
      </pivotArea>
    </chartFormat>
    <chartFormat chart="18" format="11">
      <pivotArea type="data" outline="0" fieldPosition="0">
        <references count="2">
          <reference field="4294967294" count="1" selected="0">
            <x v="0"/>
          </reference>
          <reference field="7" count="1" selected="0">
            <x v="9"/>
          </reference>
        </references>
      </pivotArea>
    </chartFormat>
    <chartFormat chart="19" format="12" series="1">
      <pivotArea type="data" outline="0" fieldPosition="0">
        <references count="1">
          <reference field="4294967294" count="1" selected="0">
            <x v="0"/>
          </reference>
        </references>
      </pivotArea>
    </chartFormat>
    <chartFormat chart="19" format="13">
      <pivotArea type="data" outline="0" fieldPosition="0">
        <references count="2">
          <reference field="4294967294" count="1" selected="0">
            <x v="0"/>
          </reference>
          <reference field="7" count="1" selected="0">
            <x v="8"/>
          </reference>
        </references>
      </pivotArea>
    </chartFormat>
    <chartFormat chart="19" format="14">
      <pivotArea type="data" outline="0" fieldPosition="0">
        <references count="2">
          <reference field="4294967294" count="1" selected="0">
            <x v="0"/>
          </reference>
          <reference field="7" count="1" selected="0">
            <x v="5"/>
          </reference>
        </references>
      </pivotArea>
    </chartFormat>
    <chartFormat chart="19" format="15">
      <pivotArea type="data" outline="0" fieldPosition="0">
        <references count="2">
          <reference field="4294967294" count="1" selected="0">
            <x v="0"/>
          </reference>
          <reference field="7" count="1" selected="0">
            <x v="4"/>
          </reference>
        </references>
      </pivotArea>
    </chartFormat>
    <chartFormat chart="19" format="16">
      <pivotArea type="data" outline="0" fieldPosition="0">
        <references count="2">
          <reference field="4294967294" count="1" selected="0">
            <x v="0"/>
          </reference>
          <reference field="7" count="1" selected="0">
            <x v="6"/>
          </reference>
        </references>
      </pivotArea>
    </chartFormat>
    <chartFormat chart="19" format="17">
      <pivotArea type="data" outline="0" fieldPosition="0">
        <references count="2">
          <reference field="4294967294" count="1" selected="0">
            <x v="0"/>
          </reference>
          <reference field="7" count="1" selected="0">
            <x v="3"/>
          </reference>
        </references>
      </pivotArea>
    </chartFormat>
    <chartFormat chart="19" format="18">
      <pivotArea type="data" outline="0" fieldPosition="0">
        <references count="2">
          <reference field="4294967294" count="1" selected="0">
            <x v="0"/>
          </reference>
          <reference field="7" count="1" selected="0">
            <x v="2"/>
          </reference>
        </references>
      </pivotArea>
    </chartFormat>
    <chartFormat chart="19" format="19">
      <pivotArea type="data" outline="0" fieldPosition="0">
        <references count="2">
          <reference field="4294967294" count="1" selected="0">
            <x v="0"/>
          </reference>
          <reference field="7" count="1" selected="0">
            <x v="7"/>
          </reference>
        </references>
      </pivotArea>
    </chartFormat>
    <chartFormat chart="19" format="20">
      <pivotArea type="data" outline="0" fieldPosition="0">
        <references count="2">
          <reference field="4294967294" count="1" selected="0">
            <x v="0"/>
          </reference>
          <reference field="7" count="1" selected="0">
            <x v="1"/>
          </reference>
        </references>
      </pivotArea>
    </chartFormat>
    <chartFormat chart="19" format="21">
      <pivotArea type="data" outline="0" fieldPosition="0">
        <references count="2">
          <reference field="4294967294" count="1" selected="0">
            <x v="0"/>
          </reference>
          <reference field="7" count="1" selected="0">
            <x v="0"/>
          </reference>
        </references>
      </pivotArea>
    </chartFormat>
    <chartFormat chart="19" format="22">
      <pivotArea type="data" outline="0" fieldPosition="0">
        <references count="2">
          <reference field="4294967294" count="1" selected="0">
            <x v="0"/>
          </reference>
          <reference field="7"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FB71EC-D14B-4B45-B697-04EF00CC534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Order Status Flag">
  <location ref="D19:E23" firstHeaderRow="1" firstDataRow="1" firstDataCol="1"/>
  <pivotFields count="21">
    <pivotField dataField="1" showAll="0"/>
    <pivotField numFmtId="14" showAll="0"/>
    <pivotField showAll="0"/>
    <pivotField showAll="0"/>
    <pivotField numFmtId="2" showAll="0"/>
    <pivotField numFmtId="1"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items count="4">
        <item x="1"/>
        <item x="0"/>
        <item x="2"/>
        <item t="default"/>
      </items>
    </pivotField>
    <pivotField showAll="0"/>
    <pivotField axis="axisRow" showAll="0">
      <items count="4">
        <item x="0"/>
        <item x="2"/>
        <item x="1"/>
        <item t="default"/>
      </items>
    </pivotField>
  </pivotFields>
  <rowFields count="1">
    <field x="20"/>
  </rowFields>
  <rowItems count="4">
    <i>
      <x/>
    </i>
    <i>
      <x v="1"/>
    </i>
    <i>
      <x v="2"/>
    </i>
    <i t="grand">
      <x/>
    </i>
  </rowItems>
  <colItems count="1">
    <i/>
  </colItems>
  <dataFields count="1">
    <dataField name="Count of Order ID" fld="0" subtotal="count" baseField="0" baseItem="0"/>
  </dataFields>
  <formats count="12">
    <format dxfId="69">
      <pivotArea type="all" dataOnly="0" outline="0" fieldPosition="0"/>
    </format>
    <format dxfId="68">
      <pivotArea outline="0" collapsedLevelsAreSubtotals="1" fieldPosition="0"/>
    </format>
    <format dxfId="67">
      <pivotArea field="20" type="button" dataOnly="0" labelOnly="1" outline="0" axis="axisRow" fieldPosition="0"/>
    </format>
    <format dxfId="66">
      <pivotArea dataOnly="0" labelOnly="1" fieldPosition="0">
        <references count="1">
          <reference field="20" count="0"/>
        </references>
      </pivotArea>
    </format>
    <format dxfId="65">
      <pivotArea dataOnly="0" labelOnly="1" grandRow="1" outline="0" fieldPosition="0"/>
    </format>
    <format dxfId="64">
      <pivotArea dataOnly="0" labelOnly="1" outline="0" axis="axisValues" fieldPosition="0"/>
    </format>
    <format dxfId="27">
      <pivotArea type="all" dataOnly="0" outline="0" fieldPosition="0"/>
    </format>
    <format dxfId="26">
      <pivotArea outline="0" collapsedLevelsAreSubtotals="1" fieldPosition="0"/>
    </format>
    <format dxfId="25">
      <pivotArea field="20" type="button" dataOnly="0" labelOnly="1" outline="0" axis="axisRow" fieldPosition="0"/>
    </format>
    <format dxfId="24">
      <pivotArea dataOnly="0" labelOnly="1" fieldPosition="0">
        <references count="1">
          <reference field="20" count="0"/>
        </references>
      </pivotArea>
    </format>
    <format dxfId="23">
      <pivotArea dataOnly="0" labelOnly="1" grandRow="1" outline="0" fieldPosition="0"/>
    </format>
    <format dxfId="22">
      <pivotArea dataOnly="0" labelOnly="1" outline="0" axis="axisValues" fieldPosition="0"/>
    </format>
  </formats>
  <chartFormats count="4">
    <chartFormat chart="13" format="5" series="1">
      <pivotArea type="data" outline="0" fieldPosition="0">
        <references count="1">
          <reference field="4294967294" count="1" selected="0">
            <x v="0"/>
          </reference>
        </references>
      </pivotArea>
    </chartFormat>
    <chartFormat chart="13" format="6">
      <pivotArea type="data" outline="0" fieldPosition="0">
        <references count="2">
          <reference field="4294967294" count="1" selected="0">
            <x v="0"/>
          </reference>
          <reference field="20" count="1" selected="0">
            <x v="0"/>
          </reference>
        </references>
      </pivotArea>
    </chartFormat>
    <chartFormat chart="13" format="7">
      <pivotArea type="data" outline="0" fieldPosition="0">
        <references count="2">
          <reference field="4294967294" count="1" selected="0">
            <x v="0"/>
          </reference>
          <reference field="20" count="1" selected="0">
            <x v="1"/>
          </reference>
        </references>
      </pivotArea>
    </chartFormat>
    <chartFormat chart="13" format="8">
      <pivotArea type="data" outline="0" fieldPosition="0">
        <references count="2">
          <reference field="4294967294" count="1" selected="0">
            <x v="0"/>
          </reference>
          <reference field="2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E875E6B-4153-4D63-9779-06EB3CAE83E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Payment Method">
  <location ref="A19:B25" firstHeaderRow="1" firstDataRow="1" firstDataCol="1"/>
  <pivotFields count="21">
    <pivotField dataField="1" showAll="0">
      <items count="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umFmtId="14" showAll="0"/>
    <pivotField showAll="0"/>
    <pivotField showAll="0"/>
    <pivotField numFmtId="2" showAll="0"/>
    <pivotField numFmtId="1" showAll="0"/>
    <pivotField numFmtId="2" showAll="0"/>
    <pivotField showAll="0"/>
    <pivotField showAll="0"/>
    <pivotField axis="axisRow" showAll="0">
      <items count="6">
        <item x="1"/>
        <item x="2"/>
        <item x="0"/>
        <item x="4"/>
        <item x="3"/>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6">
    <i>
      <x/>
    </i>
    <i>
      <x v="1"/>
    </i>
    <i>
      <x v="2"/>
    </i>
    <i>
      <x v="3"/>
    </i>
    <i>
      <x v="4"/>
    </i>
    <i t="grand">
      <x/>
    </i>
  </rowItems>
  <colItems count="1">
    <i/>
  </colItems>
  <dataFields count="1">
    <dataField name="Count of Order ID" fld="0" subtotal="count" baseField="0" baseItem="0"/>
  </dataFields>
  <formats count="12">
    <format dxfId="62">
      <pivotArea type="all" dataOnly="0" outline="0" fieldPosition="0"/>
    </format>
    <format dxfId="61">
      <pivotArea outline="0" collapsedLevelsAreSubtotals="1" fieldPosition="0"/>
    </format>
    <format dxfId="60">
      <pivotArea field="9" type="button" dataOnly="0" labelOnly="1" outline="0" axis="axisRow" fieldPosition="0"/>
    </format>
    <format dxfId="59">
      <pivotArea dataOnly="0" labelOnly="1" fieldPosition="0">
        <references count="1">
          <reference field="9" count="0"/>
        </references>
      </pivotArea>
    </format>
    <format dxfId="58">
      <pivotArea dataOnly="0" labelOnly="1" grandRow="1" outline="0" fieldPosition="0"/>
    </format>
    <format dxfId="57">
      <pivotArea dataOnly="0" labelOnly="1" outline="0" axis="axisValues" fieldPosition="0"/>
    </format>
    <format dxfId="20">
      <pivotArea type="all" dataOnly="0" outline="0" fieldPosition="0"/>
    </format>
    <format dxfId="19">
      <pivotArea outline="0" collapsedLevelsAreSubtotals="1" fieldPosition="0"/>
    </format>
    <format dxfId="18">
      <pivotArea field="9" type="button" dataOnly="0" labelOnly="1" outline="0" axis="axisRow" fieldPosition="0"/>
    </format>
    <format dxfId="17">
      <pivotArea dataOnly="0" labelOnly="1" fieldPosition="0">
        <references count="1">
          <reference field="9" count="0"/>
        </references>
      </pivotArea>
    </format>
    <format dxfId="16">
      <pivotArea dataOnly="0" labelOnly="1" grandRow="1" outline="0" fieldPosition="0"/>
    </format>
    <format dxfId="15">
      <pivotArea dataOnly="0" labelOnly="1" outline="0" axis="axisValues" fieldPosition="0"/>
    </format>
  </formats>
  <chartFormats count="12">
    <chartFormat chart="3" format="25" series="1">
      <pivotArea type="data" outline="0" fieldPosition="0">
        <references count="1">
          <reference field="4294967294" count="1" selected="0">
            <x v="0"/>
          </reference>
        </references>
      </pivotArea>
    </chartFormat>
    <chartFormat chart="3" format="26">
      <pivotArea type="data" outline="0" fieldPosition="0">
        <references count="2">
          <reference field="4294967294" count="1" selected="0">
            <x v="0"/>
          </reference>
          <reference field="9" count="1" selected="0">
            <x v="0"/>
          </reference>
        </references>
      </pivotArea>
    </chartFormat>
    <chartFormat chart="3" format="27">
      <pivotArea type="data" outline="0" fieldPosition="0">
        <references count="2">
          <reference field="4294967294" count="1" selected="0">
            <x v="0"/>
          </reference>
          <reference field="9" count="1" selected="0">
            <x v="1"/>
          </reference>
        </references>
      </pivotArea>
    </chartFormat>
    <chartFormat chart="3" format="28">
      <pivotArea type="data" outline="0" fieldPosition="0">
        <references count="2">
          <reference field="4294967294" count="1" selected="0">
            <x v="0"/>
          </reference>
          <reference field="9" count="1" selected="0">
            <x v="2"/>
          </reference>
        </references>
      </pivotArea>
    </chartFormat>
    <chartFormat chart="3" format="29">
      <pivotArea type="data" outline="0" fieldPosition="0">
        <references count="2">
          <reference field="4294967294" count="1" selected="0">
            <x v="0"/>
          </reference>
          <reference field="9" count="1" selected="0">
            <x v="3"/>
          </reference>
        </references>
      </pivotArea>
    </chartFormat>
    <chartFormat chart="3" format="30">
      <pivotArea type="data" outline="0" fieldPosition="0">
        <references count="2">
          <reference field="4294967294" count="1" selected="0">
            <x v="0"/>
          </reference>
          <reference field="9" count="1" selected="0">
            <x v="4"/>
          </reference>
        </references>
      </pivotArea>
    </chartFormat>
    <chartFormat chart="11" format="19" series="1">
      <pivotArea type="data" outline="0" fieldPosition="0">
        <references count="1">
          <reference field="4294967294" count="1" selected="0">
            <x v="0"/>
          </reference>
        </references>
      </pivotArea>
    </chartFormat>
    <chartFormat chart="11" format="20">
      <pivotArea type="data" outline="0" fieldPosition="0">
        <references count="2">
          <reference field="4294967294" count="1" selected="0">
            <x v="0"/>
          </reference>
          <reference field="9" count="1" selected="0">
            <x v="0"/>
          </reference>
        </references>
      </pivotArea>
    </chartFormat>
    <chartFormat chart="11" format="21">
      <pivotArea type="data" outline="0" fieldPosition="0">
        <references count="2">
          <reference field="4294967294" count="1" selected="0">
            <x v="0"/>
          </reference>
          <reference field="9" count="1" selected="0">
            <x v="1"/>
          </reference>
        </references>
      </pivotArea>
    </chartFormat>
    <chartFormat chart="11" format="22">
      <pivotArea type="data" outline="0" fieldPosition="0">
        <references count="2">
          <reference field="4294967294" count="1" selected="0">
            <x v="0"/>
          </reference>
          <reference field="9" count="1" selected="0">
            <x v="2"/>
          </reference>
        </references>
      </pivotArea>
    </chartFormat>
    <chartFormat chart="11" format="23">
      <pivotArea type="data" outline="0" fieldPosition="0">
        <references count="2">
          <reference field="4294967294" count="1" selected="0">
            <x v="0"/>
          </reference>
          <reference field="9" count="1" selected="0">
            <x v="3"/>
          </reference>
        </references>
      </pivotArea>
    </chartFormat>
    <chartFormat chart="11" format="24">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D1EFE21-218F-4766-A302-054316B21A4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Customer Location">
  <location ref="G3:H14" firstHeaderRow="1" firstDataRow="1" firstDataCol="1"/>
  <pivotFields count="21">
    <pivotField showAll="0"/>
    <pivotField numFmtId="14" showAll="0"/>
    <pivotField showAll="0"/>
    <pivotField showAll="0"/>
    <pivotField numFmtId="2" showAll="0"/>
    <pivotField numFmtId="1" showAll="0"/>
    <pivotField dataField="1" numFmtId="2" showAll="0"/>
    <pivotField showAll="0"/>
    <pivotField axis="axisRow" showAll="0">
      <items count="11">
        <item x="6"/>
        <item x="9"/>
        <item x="3"/>
        <item x="2"/>
        <item x="4"/>
        <item x="8"/>
        <item x="5"/>
        <item x="0"/>
        <item x="1"/>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11">
    <i>
      <x/>
    </i>
    <i>
      <x v="1"/>
    </i>
    <i>
      <x v="2"/>
    </i>
    <i>
      <x v="3"/>
    </i>
    <i>
      <x v="4"/>
    </i>
    <i>
      <x v="5"/>
    </i>
    <i>
      <x v="6"/>
    </i>
    <i>
      <x v="7"/>
    </i>
    <i>
      <x v="8"/>
    </i>
    <i>
      <x v="9"/>
    </i>
    <i t="grand">
      <x/>
    </i>
  </rowItems>
  <colItems count="1">
    <i/>
  </colItems>
  <dataFields count="1">
    <dataField name="Total Sales" fld="6" baseField="0" baseItem="0" numFmtId="2"/>
  </dataFields>
  <formats count="12">
    <format dxfId="55">
      <pivotArea type="all" dataOnly="0" outline="0" fieldPosition="0"/>
    </format>
    <format dxfId="54">
      <pivotArea outline="0" collapsedLevelsAreSubtotals="1" fieldPosition="0"/>
    </format>
    <format dxfId="53">
      <pivotArea field="8" type="button" dataOnly="0" labelOnly="1" outline="0" axis="axisRow" fieldPosition="0"/>
    </format>
    <format dxfId="52">
      <pivotArea dataOnly="0" labelOnly="1" fieldPosition="0">
        <references count="1">
          <reference field="8" count="0"/>
        </references>
      </pivotArea>
    </format>
    <format dxfId="51">
      <pivotArea dataOnly="0" labelOnly="1" grandRow="1" outline="0" fieldPosition="0"/>
    </format>
    <format dxfId="50">
      <pivotArea dataOnly="0" labelOnly="1" outline="0" axis="axisValues" fieldPosition="0"/>
    </format>
    <format dxfId="13">
      <pivotArea type="all" dataOnly="0" outline="0" fieldPosition="0"/>
    </format>
    <format dxfId="12">
      <pivotArea outline="0" collapsedLevelsAreSubtotals="1" fieldPosition="0"/>
    </format>
    <format dxfId="11">
      <pivotArea field="8" type="button" dataOnly="0" labelOnly="1" outline="0" axis="axisRow" fieldPosition="0"/>
    </format>
    <format dxfId="10">
      <pivotArea dataOnly="0" labelOnly="1" fieldPosition="0">
        <references count="1">
          <reference field="8" count="0"/>
        </references>
      </pivotArea>
    </format>
    <format dxfId="9">
      <pivotArea dataOnly="0" labelOnly="1" grandRow="1" outline="0" fieldPosition="0"/>
    </format>
    <format dxfId="8">
      <pivotArea dataOnly="0" labelOnly="1" outline="0" axis="axisValues" fieldPosition="0"/>
    </format>
  </formats>
  <chartFormats count="4">
    <chartFormat chart="4"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2F066F5-9BD5-4AC2-8065-540F1B27E01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Product">
  <location ref="D3:E14" firstHeaderRow="1" firstDataRow="1" firstDataCol="1"/>
  <pivotFields count="21">
    <pivotField showAll="0"/>
    <pivotField numFmtId="14" showAll="0"/>
    <pivotField axis="axisRow" showAll="0" sortType="descending">
      <items count="11">
        <item x="5"/>
        <item x="1"/>
        <item x="6"/>
        <item x="7"/>
        <item x="9"/>
        <item x="0"/>
        <item x="4"/>
        <item x="2"/>
        <item x="3"/>
        <item x="8"/>
        <item t="default"/>
      </items>
      <autoSortScope>
        <pivotArea dataOnly="0" outline="0" fieldPosition="0">
          <references count="1">
            <reference field="4294967294" count="1" selected="0">
              <x v="0"/>
            </reference>
          </references>
        </pivotArea>
      </autoSortScope>
    </pivotField>
    <pivotField showAll="0"/>
    <pivotField numFmtId="2" showAll="0"/>
    <pivotField numFmtId="1" showAll="0"/>
    <pivotField dataField="1"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11">
    <i>
      <x v="4"/>
    </i>
    <i>
      <x v="3"/>
    </i>
    <i>
      <x v="6"/>
    </i>
    <i>
      <x v="9"/>
    </i>
    <i>
      <x v="7"/>
    </i>
    <i>
      <x v="1"/>
    </i>
    <i>
      <x v="5"/>
    </i>
    <i>
      <x v="2"/>
    </i>
    <i>
      <x v="8"/>
    </i>
    <i>
      <x/>
    </i>
    <i t="grand">
      <x/>
    </i>
  </rowItems>
  <colItems count="1">
    <i/>
  </colItems>
  <dataFields count="1">
    <dataField name="Total Sales" fld="6" baseField="0" baseItem="0" numFmtId="2"/>
  </dataFields>
  <formats count="12">
    <format dxfId="48">
      <pivotArea type="all" dataOnly="0" outline="0" fieldPosition="0"/>
    </format>
    <format dxfId="47">
      <pivotArea outline="0" collapsedLevelsAreSubtotals="1" fieldPosition="0"/>
    </format>
    <format dxfId="46">
      <pivotArea field="2" type="button" dataOnly="0" labelOnly="1" outline="0" axis="axisRow" fieldPosition="0"/>
    </format>
    <format dxfId="45">
      <pivotArea dataOnly="0" labelOnly="1" fieldPosition="0">
        <references count="1">
          <reference field="2" count="0"/>
        </references>
      </pivotArea>
    </format>
    <format dxfId="44">
      <pivotArea dataOnly="0" labelOnly="1" grandRow="1" outline="0" fieldPosition="0"/>
    </format>
    <format dxfId="43">
      <pivotArea dataOnly="0" labelOnly="1" outline="0" axis="axisValues" fieldPosition="0"/>
    </format>
    <format dxfId="6">
      <pivotArea type="all" dataOnly="0" outline="0" fieldPosition="0"/>
    </format>
    <format dxfId="5">
      <pivotArea outline="0" collapsedLevelsAreSubtotals="1" fieldPosition="0"/>
    </format>
    <format dxfId="4">
      <pivotArea field="2" type="button" dataOnly="0" labelOnly="1" outline="0" axis="axisRow" fieldPosition="0"/>
    </format>
    <format dxfId="3">
      <pivotArea dataOnly="0" labelOnly="1" fieldPosition="0">
        <references count="1">
          <reference field="2" count="0"/>
        </references>
      </pivotArea>
    </format>
    <format dxfId="2">
      <pivotArea dataOnly="0" labelOnly="1" grandRow="1" outline="0" fieldPosition="0"/>
    </format>
    <format dxfId="1">
      <pivotArea dataOnly="0" labelOnly="1" outline="0" axis="axisValues" fieldPosition="0"/>
    </format>
  </formats>
  <chartFormats count="3">
    <chartFormat chart="10"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C6A3D1E-429D-44A4-9CAF-E43D05DA23DE}" sourceName="Category">
  <pivotTables>
    <pivotTable tabId="3" name="PivotTable1"/>
  </pivotTables>
  <data>
    <tabular pivotCacheId="1151795937">
      <items count="5">
        <i x="3" s="1"/>
        <i x="2" s="1"/>
        <i x="1"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Location" xr10:uid="{FF61F1C8-2F67-4628-BBC5-C5BDD6AC7370}" sourceName="Customer Location">
  <pivotTables>
    <pivotTable tabId="3" name="PivotTable3"/>
  </pivotTables>
  <data>
    <tabular pivotCacheId="1151795937">
      <items count="10">
        <i x="6" s="1"/>
        <i x="9" s="1"/>
        <i x="3" s="1"/>
        <i x="2" s="1"/>
        <i x="4" s="1"/>
        <i x="8" s="1"/>
        <i x="5" s="1"/>
        <i x="0" s="1"/>
        <i x="1"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_Flag" xr10:uid="{9321AB0C-3B68-4349-B3D4-CB1F3F0D9CDC}" sourceName="Order Status Flag">
  <pivotTables>
    <pivotTable tabId="3" name="PivotTable5"/>
  </pivotTables>
  <data>
    <tabular pivotCacheId="1151795937">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1421B55-C495-4A45-B2F2-2754FC17F336}" sourceName="Month">
  <pivotTables>
    <pivotTable tabId="3" name="PivotTable5"/>
  </pivotTables>
  <data>
    <tabular pivotCacheId="1151795937">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159388D-0F49-44E1-A56C-7AC097E805EA}" cache="Slicer_Category" caption="Category" rowHeight="234950"/>
  <slicer name="Customer Location" xr10:uid="{50BEF57D-A1C2-4024-BF3F-FB97B22C4868}" cache="Slicer_Customer_Location" caption="Customer Location" rowHeight="234950"/>
  <slicer name="Order Status Flag" xr10:uid="{426927AF-B1E1-4134-A740-8E06F25C046A}" cache="Slicer_Order_Status_Flag" caption="Order Status Flag" rowHeight="234950"/>
  <slicer name="Month" xr10:uid="{0B1CE92B-CA89-406D-A701-8E4BAE86E4F7}" cache="Slicer_Month" caption="Month"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B2F43-2009-45B3-A18B-DC5CD1CDD4A3}">
  <dimension ref="A2:H30"/>
  <sheetViews>
    <sheetView topLeftCell="A2" workbookViewId="0">
      <selection activeCell="O6" sqref="O6"/>
    </sheetView>
  </sheetViews>
  <sheetFormatPr defaultRowHeight="14.4" x14ac:dyDescent="0.3"/>
  <cols>
    <col min="1" max="1" width="15.109375" style="7" bestFit="1" customWidth="1"/>
    <col min="2" max="2" width="9.88671875" style="7" bestFit="1" customWidth="1"/>
    <col min="3" max="3" width="8.88671875" style="7"/>
    <col min="4" max="4" width="21.21875" style="7" customWidth="1"/>
    <col min="5" max="5" width="20.5546875" style="7" customWidth="1"/>
    <col min="6" max="6" width="8.88671875" style="7"/>
    <col min="7" max="7" width="19.109375" style="7" bestFit="1" customWidth="1"/>
    <col min="8" max="8" width="16.44140625" style="7" bestFit="1" customWidth="1"/>
    <col min="9" max="16384" width="8.88671875" style="7"/>
  </cols>
  <sheetData>
    <row r="2" spans="1:8" ht="17.399999999999999" x14ac:dyDescent="0.3">
      <c r="A2" s="28" t="s">
        <v>316</v>
      </c>
      <c r="D2" s="28" t="s">
        <v>317</v>
      </c>
      <c r="G2" s="28" t="s">
        <v>318</v>
      </c>
    </row>
    <row r="3" spans="1:8" x14ac:dyDescent="0.3">
      <c r="A3" s="7" t="s">
        <v>3</v>
      </c>
      <c r="B3" s="7" t="s">
        <v>6</v>
      </c>
      <c r="D3" s="7" t="s">
        <v>2</v>
      </c>
      <c r="E3" s="7" t="s">
        <v>6</v>
      </c>
      <c r="G3" s="7" t="s">
        <v>8</v>
      </c>
      <c r="H3" s="7" t="s">
        <v>6</v>
      </c>
    </row>
    <row r="4" spans="1:8" x14ac:dyDescent="0.3">
      <c r="A4" s="29" t="s">
        <v>50</v>
      </c>
      <c r="B4" s="30">
        <v>1035</v>
      </c>
      <c r="D4" s="29" t="s">
        <v>65</v>
      </c>
      <c r="E4" s="30">
        <v>78000</v>
      </c>
      <c r="G4" s="29" t="s">
        <v>46</v>
      </c>
      <c r="H4" s="30">
        <v>26170</v>
      </c>
    </row>
    <row r="5" spans="1:8" x14ac:dyDescent="0.3">
      <c r="A5" s="29" t="s">
        <v>36</v>
      </c>
      <c r="B5" s="30">
        <v>3540</v>
      </c>
      <c r="D5" s="29" t="s">
        <v>56</v>
      </c>
      <c r="E5" s="30">
        <v>58400</v>
      </c>
      <c r="G5" s="29" t="s">
        <v>81</v>
      </c>
      <c r="H5" s="30">
        <v>20810</v>
      </c>
    </row>
    <row r="6" spans="1:8" x14ac:dyDescent="0.3">
      <c r="A6" s="29" t="s">
        <v>20</v>
      </c>
      <c r="B6" s="30">
        <v>129950</v>
      </c>
      <c r="D6" s="29" t="s">
        <v>42</v>
      </c>
      <c r="E6" s="30">
        <v>48500</v>
      </c>
      <c r="G6" s="29" t="s">
        <v>30</v>
      </c>
      <c r="H6" s="30">
        <v>27145</v>
      </c>
    </row>
    <row r="7" spans="1:8" x14ac:dyDescent="0.3">
      <c r="A7" s="29" t="s">
        <v>13</v>
      </c>
      <c r="B7" s="30">
        <v>4320</v>
      </c>
      <c r="D7" s="29" t="s">
        <v>60</v>
      </c>
      <c r="E7" s="30">
        <v>27000</v>
      </c>
      <c r="G7" s="29" t="s">
        <v>26</v>
      </c>
      <c r="H7" s="30">
        <v>29785</v>
      </c>
    </row>
    <row r="8" spans="1:8" x14ac:dyDescent="0.3">
      <c r="A8" s="29" t="s">
        <v>61</v>
      </c>
      <c r="B8" s="30">
        <v>105000</v>
      </c>
      <c r="D8" s="29" t="s">
        <v>33</v>
      </c>
      <c r="E8" s="30">
        <v>15750</v>
      </c>
      <c r="G8" s="29" t="s">
        <v>38</v>
      </c>
      <c r="H8" s="30">
        <v>28390</v>
      </c>
    </row>
    <row r="9" spans="1:8" x14ac:dyDescent="0.3">
      <c r="A9" s="29" t="s">
        <v>314</v>
      </c>
      <c r="B9" s="30">
        <v>243845</v>
      </c>
      <c r="D9" s="29" t="s">
        <v>19</v>
      </c>
      <c r="E9" s="30">
        <v>7300</v>
      </c>
      <c r="G9" s="29" t="s">
        <v>68</v>
      </c>
      <c r="H9" s="30">
        <v>17820</v>
      </c>
    </row>
    <row r="10" spans="1:8" x14ac:dyDescent="0.3">
      <c r="D10" s="29" t="s">
        <v>12</v>
      </c>
      <c r="E10" s="30">
        <v>4320</v>
      </c>
      <c r="G10" s="29" t="s">
        <v>44</v>
      </c>
      <c r="H10" s="30">
        <v>31700</v>
      </c>
    </row>
    <row r="11" spans="1:8" x14ac:dyDescent="0.3">
      <c r="D11" s="29" t="s">
        <v>53</v>
      </c>
      <c r="E11" s="30">
        <v>2480</v>
      </c>
      <c r="G11" s="29" t="s">
        <v>15</v>
      </c>
      <c r="H11" s="30">
        <v>18940</v>
      </c>
    </row>
    <row r="12" spans="1:8" x14ac:dyDescent="0.3">
      <c r="D12" s="29" t="s">
        <v>35</v>
      </c>
      <c r="E12" s="30">
        <v>1060</v>
      </c>
      <c r="G12" s="29" t="s">
        <v>22</v>
      </c>
      <c r="H12" s="30">
        <v>16195</v>
      </c>
    </row>
    <row r="13" spans="1:8" x14ac:dyDescent="0.3">
      <c r="D13" s="29" t="s">
        <v>49</v>
      </c>
      <c r="E13" s="30">
        <v>1035</v>
      </c>
      <c r="G13" s="29" t="s">
        <v>63</v>
      </c>
      <c r="H13" s="30">
        <v>26890</v>
      </c>
    </row>
    <row r="14" spans="1:8" x14ac:dyDescent="0.3">
      <c r="D14" s="29" t="s">
        <v>314</v>
      </c>
      <c r="E14" s="30">
        <v>243845</v>
      </c>
      <c r="G14" s="29" t="s">
        <v>314</v>
      </c>
      <c r="H14" s="30">
        <v>243845</v>
      </c>
    </row>
    <row r="18" spans="1:8" ht="17.399999999999999" x14ac:dyDescent="0.3">
      <c r="A18" s="28" t="s">
        <v>320</v>
      </c>
      <c r="D18" s="28" t="s">
        <v>321</v>
      </c>
      <c r="G18" s="28" t="s">
        <v>322</v>
      </c>
    </row>
    <row r="19" spans="1:8" x14ac:dyDescent="0.3">
      <c r="A19" s="7" t="s">
        <v>9</v>
      </c>
      <c r="B19" s="7" t="s">
        <v>319</v>
      </c>
      <c r="D19" s="7" t="s">
        <v>313</v>
      </c>
      <c r="E19" s="7" t="s">
        <v>319</v>
      </c>
      <c r="G19" s="7" t="s">
        <v>7</v>
      </c>
      <c r="H19" s="7" t="s">
        <v>315</v>
      </c>
    </row>
    <row r="20" spans="1:8" x14ac:dyDescent="0.3">
      <c r="A20" s="29" t="s">
        <v>27</v>
      </c>
      <c r="B20" s="7">
        <v>41</v>
      </c>
      <c r="D20" s="29" t="s">
        <v>17</v>
      </c>
      <c r="E20" s="7">
        <v>77</v>
      </c>
      <c r="G20" s="29" t="s">
        <v>29</v>
      </c>
      <c r="H20" s="30">
        <v>36170</v>
      </c>
    </row>
    <row r="21" spans="1:8" x14ac:dyDescent="0.3">
      <c r="A21" s="29" t="s">
        <v>31</v>
      </c>
      <c r="B21" s="7">
        <v>54</v>
      </c>
      <c r="D21" s="29" t="s">
        <v>40</v>
      </c>
      <c r="E21" s="7">
        <v>88</v>
      </c>
      <c r="G21" s="29" t="s">
        <v>80</v>
      </c>
      <c r="H21" s="30">
        <v>31185</v>
      </c>
    </row>
    <row r="22" spans="1:8" x14ac:dyDescent="0.3">
      <c r="A22" s="29" t="s">
        <v>16</v>
      </c>
      <c r="B22" s="7">
        <v>53</v>
      </c>
      <c r="D22" s="29" t="s">
        <v>23</v>
      </c>
      <c r="E22" s="7">
        <v>85</v>
      </c>
      <c r="G22" s="29" t="s">
        <v>14</v>
      </c>
      <c r="H22" s="30">
        <v>29700</v>
      </c>
    </row>
    <row r="23" spans="1:8" x14ac:dyDescent="0.3">
      <c r="A23" s="29" t="s">
        <v>58</v>
      </c>
      <c r="B23" s="7">
        <v>42</v>
      </c>
      <c r="D23" s="29" t="s">
        <v>314</v>
      </c>
      <c r="E23" s="7">
        <v>250</v>
      </c>
      <c r="G23" s="29" t="s">
        <v>25</v>
      </c>
      <c r="H23" s="30">
        <v>26870</v>
      </c>
    </row>
    <row r="24" spans="1:8" x14ac:dyDescent="0.3">
      <c r="A24" s="29" t="s">
        <v>39</v>
      </c>
      <c r="B24" s="7">
        <v>60</v>
      </c>
      <c r="G24" s="29" t="s">
        <v>21</v>
      </c>
      <c r="H24" s="30">
        <v>23475</v>
      </c>
    </row>
    <row r="25" spans="1:8" x14ac:dyDescent="0.3">
      <c r="A25" s="29" t="s">
        <v>314</v>
      </c>
      <c r="B25" s="7">
        <v>250</v>
      </c>
      <c r="G25" s="29" t="s">
        <v>51</v>
      </c>
      <c r="H25" s="30">
        <v>22665</v>
      </c>
    </row>
    <row r="26" spans="1:8" x14ac:dyDescent="0.3">
      <c r="G26" s="29" t="s">
        <v>54</v>
      </c>
      <c r="H26" s="30">
        <v>22655</v>
      </c>
    </row>
    <row r="27" spans="1:8" x14ac:dyDescent="0.3">
      <c r="G27" s="29" t="s">
        <v>57</v>
      </c>
      <c r="H27" s="30">
        <v>18945</v>
      </c>
    </row>
    <row r="28" spans="1:8" x14ac:dyDescent="0.3">
      <c r="G28" s="29" t="s">
        <v>72</v>
      </c>
      <c r="H28" s="30">
        <v>18885</v>
      </c>
    </row>
    <row r="29" spans="1:8" x14ac:dyDescent="0.3">
      <c r="G29" s="29" t="s">
        <v>43</v>
      </c>
      <c r="H29" s="30">
        <v>13295</v>
      </c>
    </row>
    <row r="30" spans="1:8" x14ac:dyDescent="0.3">
      <c r="G30" s="29" t="s">
        <v>314</v>
      </c>
      <c r="H30" s="30">
        <v>243845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4505E-25B5-48C3-82C7-B64F7AAC94C2}">
  <dimension ref="A1:K16"/>
  <sheetViews>
    <sheetView showGridLines="0" zoomScale="85" workbookViewId="0">
      <selection activeCell="Y19" sqref="Y19"/>
    </sheetView>
  </sheetViews>
  <sheetFormatPr defaultRowHeight="14.4" x14ac:dyDescent="0.3"/>
  <cols>
    <col min="1" max="16384" width="8.88671875" style="8"/>
  </cols>
  <sheetData>
    <row r="1" spans="1:11" ht="21" x14ac:dyDescent="0.4">
      <c r="K1" s="11" t="s">
        <v>337</v>
      </c>
    </row>
    <row r="16" spans="1:11" x14ac:dyDescent="0.3">
      <c r="A16" s="9"/>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D35A1-E3EC-4DAB-8F60-2EC68420DDB6}">
  <dimension ref="A1:A29"/>
  <sheetViews>
    <sheetView topLeftCell="A5" workbookViewId="0">
      <selection activeCell="P16" sqref="P16"/>
    </sheetView>
  </sheetViews>
  <sheetFormatPr defaultRowHeight="14.4" x14ac:dyDescent="0.3"/>
  <cols>
    <col min="1" max="16384" width="8.88671875" style="14"/>
  </cols>
  <sheetData>
    <row r="1" spans="1:1" ht="23.4" x14ac:dyDescent="0.3">
      <c r="A1" s="20" t="s">
        <v>338</v>
      </c>
    </row>
    <row r="3" spans="1:1" x14ac:dyDescent="0.3">
      <c r="A3" s="14" t="s">
        <v>339</v>
      </c>
    </row>
    <row r="5" spans="1:1" ht="18" x14ac:dyDescent="0.3">
      <c r="A5" s="21" t="s">
        <v>340</v>
      </c>
    </row>
    <row r="7" spans="1:1" x14ac:dyDescent="0.3">
      <c r="A7" s="22" t="s">
        <v>341</v>
      </c>
    </row>
    <row r="8" spans="1:1" x14ac:dyDescent="0.3">
      <c r="A8" s="14" t="s">
        <v>342</v>
      </c>
    </row>
    <row r="10" spans="1:1" x14ac:dyDescent="0.3">
      <c r="A10" s="22" t="s">
        <v>343</v>
      </c>
    </row>
    <row r="11" spans="1:1" x14ac:dyDescent="0.3">
      <c r="A11" s="14" t="s">
        <v>344</v>
      </c>
    </row>
    <row r="13" spans="1:1" x14ac:dyDescent="0.3">
      <c r="A13" s="22" t="s">
        <v>345</v>
      </c>
    </row>
    <row r="14" spans="1:1" x14ac:dyDescent="0.3">
      <c r="A14" s="14" t="s">
        <v>346</v>
      </c>
    </row>
    <row r="16" spans="1:1" x14ac:dyDescent="0.3">
      <c r="A16" s="22" t="s">
        <v>347</v>
      </c>
    </row>
    <row r="17" spans="1:1" x14ac:dyDescent="0.3">
      <c r="A17" s="14" t="s">
        <v>348</v>
      </c>
    </row>
    <row r="19" spans="1:1" x14ac:dyDescent="0.3">
      <c r="A19" s="22" t="s">
        <v>349</v>
      </c>
    </row>
    <row r="20" spans="1:1" x14ac:dyDescent="0.3">
      <c r="A20" s="14" t="s">
        <v>350</v>
      </c>
    </row>
    <row r="21" spans="1:1" x14ac:dyDescent="0.3">
      <c r="A21" s="23"/>
    </row>
    <row r="22" spans="1:1" x14ac:dyDescent="0.3">
      <c r="A22" s="19" t="s">
        <v>351</v>
      </c>
    </row>
    <row r="23" spans="1:1" x14ac:dyDescent="0.3">
      <c r="A23" s="19" t="s">
        <v>352</v>
      </c>
    </row>
    <row r="24" spans="1:1" x14ac:dyDescent="0.3">
      <c r="A24" s="19" t="s">
        <v>353</v>
      </c>
    </row>
    <row r="25" spans="1:1" x14ac:dyDescent="0.3">
      <c r="A25" s="23"/>
    </row>
    <row r="26" spans="1:1" ht="18" x14ac:dyDescent="0.3">
      <c r="A26" s="21" t="s">
        <v>354</v>
      </c>
    </row>
    <row r="28" spans="1:1" x14ac:dyDescent="0.3">
      <c r="A28" s="14" t="s">
        <v>355</v>
      </c>
    </row>
    <row r="29" spans="1:1" x14ac:dyDescent="0.3">
      <c r="A29" s="14" t="s">
        <v>356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7593D-7F54-43A3-9103-218CBA5E872F}">
  <dimension ref="A1"/>
  <sheetViews>
    <sheetView workbookViewId="0">
      <selection activeCell="P20" sqref="P20"/>
    </sheetView>
  </sheetViews>
  <sheetFormatPr defaultRowHeight="14.4" x14ac:dyDescent="0.3"/>
  <cols>
    <col min="1" max="16384" width="8.88671875" style="1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67747-6BE6-4F14-9FB6-755CB7E5EAB6}">
  <dimension ref="A1:C20"/>
  <sheetViews>
    <sheetView workbookViewId="0">
      <selection activeCell="G13" sqref="G13"/>
    </sheetView>
  </sheetViews>
  <sheetFormatPr defaultRowHeight="14.4" x14ac:dyDescent="0.3"/>
  <cols>
    <col min="1" max="1" width="24.109375" style="14" customWidth="1"/>
    <col min="2" max="2" width="30.88671875" style="14" customWidth="1"/>
    <col min="3" max="3" width="37.77734375" style="14" customWidth="1"/>
    <col min="4" max="16384" width="8.88671875" style="14"/>
  </cols>
  <sheetData>
    <row r="1" spans="1:3" ht="28.8" x14ac:dyDescent="0.3">
      <c r="A1" s="12" t="s">
        <v>357</v>
      </c>
      <c r="B1" s="13" t="s">
        <v>358</v>
      </c>
      <c r="C1" s="12" t="s">
        <v>366</v>
      </c>
    </row>
    <row r="2" spans="1:3" x14ac:dyDescent="0.3">
      <c r="A2" s="15" t="s">
        <v>6</v>
      </c>
      <c r="B2" s="16">
        <v>243845</v>
      </c>
      <c r="C2" s="17" t="s">
        <v>367</v>
      </c>
    </row>
    <row r="3" spans="1:3" x14ac:dyDescent="0.3">
      <c r="A3" s="15" t="s">
        <v>359</v>
      </c>
      <c r="B3" s="13">
        <v>250</v>
      </c>
      <c r="C3" s="17" t="s">
        <v>368</v>
      </c>
    </row>
    <row r="4" spans="1:3" x14ac:dyDescent="0.3">
      <c r="A4" s="15" t="s">
        <v>360</v>
      </c>
      <c r="B4" s="13">
        <v>714</v>
      </c>
      <c r="C4" s="17" t="s">
        <v>369</v>
      </c>
    </row>
    <row r="5" spans="1:3" ht="28.8" x14ac:dyDescent="0.3">
      <c r="A5" s="15" t="s">
        <v>361</v>
      </c>
      <c r="B5" s="18">
        <v>975.38</v>
      </c>
      <c r="C5" s="17" t="s">
        <v>370</v>
      </c>
    </row>
    <row r="6" spans="1:3" ht="28.8" x14ac:dyDescent="0.3">
      <c r="A6" s="15" t="s">
        <v>362</v>
      </c>
      <c r="B6" s="13" t="s">
        <v>363</v>
      </c>
      <c r="C6" s="17" t="s">
        <v>371</v>
      </c>
    </row>
    <row r="7" spans="1:3" x14ac:dyDescent="0.3">
      <c r="A7" s="15" t="s">
        <v>364</v>
      </c>
      <c r="B7" s="13" t="s">
        <v>365</v>
      </c>
      <c r="C7" s="17" t="s">
        <v>372</v>
      </c>
    </row>
    <row r="10" spans="1:3" x14ac:dyDescent="0.3">
      <c r="A10" s="19" t="s">
        <v>373</v>
      </c>
    </row>
    <row r="11" spans="1:3" x14ac:dyDescent="0.3">
      <c r="A11" s="19" t="s">
        <v>374</v>
      </c>
    </row>
    <row r="12" spans="1:3" x14ac:dyDescent="0.3">
      <c r="A12" s="19" t="s">
        <v>375</v>
      </c>
    </row>
    <row r="13" spans="1:3" x14ac:dyDescent="0.3">
      <c r="A13" s="19" t="s">
        <v>376</v>
      </c>
    </row>
    <row r="14" spans="1:3" x14ac:dyDescent="0.3">
      <c r="A14" s="19" t="s">
        <v>377</v>
      </c>
    </row>
    <row r="15" spans="1:3" x14ac:dyDescent="0.3">
      <c r="A15" s="19" t="s">
        <v>378</v>
      </c>
    </row>
    <row r="16" spans="1:3" x14ac:dyDescent="0.3">
      <c r="A16" s="19" t="s">
        <v>379</v>
      </c>
    </row>
    <row r="17" spans="1:1" x14ac:dyDescent="0.3">
      <c r="A17" s="19" t="s">
        <v>380</v>
      </c>
    </row>
    <row r="18" spans="1:1" x14ac:dyDescent="0.3">
      <c r="A18" s="19" t="s">
        <v>381</v>
      </c>
    </row>
    <row r="19" spans="1:1" x14ac:dyDescent="0.3">
      <c r="A19" s="19" t="s">
        <v>382</v>
      </c>
    </row>
    <row r="20" spans="1:1" x14ac:dyDescent="0.3">
      <c r="A20" s="19" t="s">
        <v>383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EB365-3B5C-482E-9BFE-68437B9C187C}">
  <dimension ref="A1:B8"/>
  <sheetViews>
    <sheetView workbookViewId="0">
      <selection activeCell="F13" sqref="F13"/>
    </sheetView>
  </sheetViews>
  <sheetFormatPr defaultRowHeight="14.4" x14ac:dyDescent="0.3"/>
  <cols>
    <col min="1" max="1" width="44.33203125" style="14" customWidth="1"/>
    <col min="2" max="2" width="61.88671875" style="14" customWidth="1"/>
    <col min="3" max="16384" width="8.88671875" style="14"/>
  </cols>
  <sheetData>
    <row r="1" spans="1:2" ht="25.8" x14ac:dyDescent="0.5">
      <c r="A1" s="24" t="s">
        <v>323</v>
      </c>
    </row>
    <row r="2" spans="1:2" x14ac:dyDescent="0.3">
      <c r="A2" s="12" t="s">
        <v>324</v>
      </c>
      <c r="B2" s="12" t="s">
        <v>325</v>
      </c>
    </row>
    <row r="3" spans="1:2" ht="18" x14ac:dyDescent="0.3">
      <c r="A3" s="25" t="s">
        <v>326</v>
      </c>
      <c r="B3" s="25" t="s">
        <v>327</v>
      </c>
    </row>
    <row r="4" spans="1:2" ht="36" x14ac:dyDescent="0.3">
      <c r="A4" s="26" t="s">
        <v>328</v>
      </c>
      <c r="B4" s="26" t="s">
        <v>329</v>
      </c>
    </row>
    <row r="5" spans="1:2" ht="18" x14ac:dyDescent="0.35">
      <c r="A5" s="27" t="s">
        <v>330</v>
      </c>
      <c r="B5" s="27" t="s">
        <v>331</v>
      </c>
    </row>
    <row r="6" spans="1:2" ht="18" x14ac:dyDescent="0.35">
      <c r="A6" s="27" t="s">
        <v>332</v>
      </c>
      <c r="B6" s="27" t="s">
        <v>334</v>
      </c>
    </row>
    <row r="7" spans="1:2" ht="18" x14ac:dyDescent="0.35">
      <c r="A7" s="27"/>
      <c r="B7" s="27" t="s">
        <v>333</v>
      </c>
    </row>
    <row r="8" spans="1:2" ht="18" x14ac:dyDescent="0.35">
      <c r="A8" s="27" t="s">
        <v>335</v>
      </c>
      <c r="B8" s="27" t="s">
        <v>336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42343-CA0E-4F04-8A98-889C62AB9A1A}">
  <dimension ref="A1:U251"/>
  <sheetViews>
    <sheetView topLeftCell="K1" workbookViewId="0">
      <selection activeCell="Y15" sqref="Y15"/>
    </sheetView>
  </sheetViews>
  <sheetFormatPr defaultRowHeight="14.4" x14ac:dyDescent="0.3"/>
  <cols>
    <col min="1" max="1" width="8.6640625" bestFit="1" customWidth="1"/>
    <col min="2" max="2" width="10.33203125" bestFit="1" customWidth="1"/>
    <col min="3" max="3" width="15.44140625" bestFit="1" customWidth="1"/>
    <col min="4" max="4" width="15.109375" bestFit="1" customWidth="1"/>
    <col min="5" max="5" width="7.5546875" style="2" bestFit="1" customWidth="1"/>
    <col min="6" max="6" width="8" style="3" bestFit="1" customWidth="1"/>
    <col min="7" max="7" width="9.77734375" style="2" bestFit="1" customWidth="1"/>
    <col min="8" max="8" width="14.33203125" bestFit="1" customWidth="1"/>
    <col min="9" max="9" width="16.5546875" bestFit="1" customWidth="1"/>
    <col min="10" max="10" width="15.109375" bestFit="1" customWidth="1"/>
    <col min="11" max="11" width="9.88671875" bestFit="1" customWidth="1"/>
    <col min="12" max="12" width="15.44140625" bestFit="1" customWidth="1"/>
    <col min="13" max="13" width="15.109375" bestFit="1" customWidth="1"/>
    <col min="14" max="14" width="19.44140625" bestFit="1" customWidth="1"/>
    <col min="15" max="15" width="21.77734375" bestFit="1" customWidth="1"/>
    <col min="16" max="16" width="20.21875" bestFit="1" customWidth="1"/>
    <col min="17" max="17" width="13.5546875" bestFit="1" customWidth="1"/>
    <col min="18" max="18" width="14.33203125" bestFit="1" customWidth="1"/>
    <col min="20" max="20" width="11.6640625" bestFit="1" customWidth="1"/>
    <col min="21" max="21" width="15.33203125" bestFit="1" customWidth="1"/>
  </cols>
  <sheetData>
    <row r="1" spans="1:21" x14ac:dyDescent="0.3">
      <c r="A1" s="4" t="s">
        <v>0</v>
      </c>
      <c r="B1" s="4" t="s">
        <v>1</v>
      </c>
      <c r="C1" s="4" t="s">
        <v>2</v>
      </c>
      <c r="D1" s="4" t="s">
        <v>3</v>
      </c>
      <c r="E1" s="5" t="s">
        <v>4</v>
      </c>
      <c r="F1" s="6" t="s">
        <v>5</v>
      </c>
      <c r="G1" s="5" t="s">
        <v>6</v>
      </c>
      <c r="H1" s="4" t="s">
        <v>7</v>
      </c>
      <c r="I1" s="4" t="s">
        <v>8</v>
      </c>
      <c r="J1" s="4" t="s">
        <v>9</v>
      </c>
      <c r="K1" s="4" t="s">
        <v>10</v>
      </c>
      <c r="L1" s="4" t="s">
        <v>304</v>
      </c>
      <c r="M1" s="4" t="s">
        <v>305</v>
      </c>
      <c r="N1" s="4" t="s">
        <v>306</v>
      </c>
      <c r="O1" s="4" t="s">
        <v>307</v>
      </c>
      <c r="P1" s="4" t="s">
        <v>308</v>
      </c>
      <c r="Q1" s="4" t="s">
        <v>309</v>
      </c>
      <c r="R1" s="4" t="s">
        <v>310</v>
      </c>
      <c r="S1" s="4" t="s">
        <v>311</v>
      </c>
      <c r="T1" s="4" t="s">
        <v>312</v>
      </c>
      <c r="U1" s="4" t="s">
        <v>313</v>
      </c>
    </row>
    <row r="2" spans="1:21" x14ac:dyDescent="0.3">
      <c r="A2" t="s">
        <v>11</v>
      </c>
      <c r="B2" s="1">
        <v>45730</v>
      </c>
      <c r="C2" t="s">
        <v>12</v>
      </c>
      <c r="D2" t="s">
        <v>13</v>
      </c>
      <c r="E2" s="2">
        <v>60</v>
      </c>
      <c r="F2" s="3">
        <v>3</v>
      </c>
      <c r="G2" s="2">
        <v>180</v>
      </c>
      <c r="H2" t="s">
        <v>14</v>
      </c>
      <c r="I2" t="s">
        <v>15</v>
      </c>
      <c r="J2" t="s">
        <v>16</v>
      </c>
      <c r="K2" t="s">
        <v>17</v>
      </c>
      <c r="L2" t="str">
        <f>PROPER(TRIM(C2))</f>
        <v>Running Shoes</v>
      </c>
      <c r="M2" t="str">
        <f>PROPER(TRIM(D2))</f>
        <v>Footwear</v>
      </c>
      <c r="N2" t="str">
        <f>PROPER(TRIM(H2))</f>
        <v>Emma Clark</v>
      </c>
      <c r="O2" t="str">
        <f>PROPER(TRIM(I2))</f>
        <v>New York</v>
      </c>
      <c r="P2" t="str">
        <f>PROPER(TRIM(J2))</f>
        <v>Debit Card</v>
      </c>
      <c r="Q2" t="str">
        <f>PROPER(TRIM(K2))</f>
        <v>Cancelled</v>
      </c>
      <c r="R2" t="b">
        <f>E2*F2=G2</f>
        <v>1</v>
      </c>
      <c r="S2" t="str">
        <f>TEXT(B2,"MMM")</f>
        <v>Mar</v>
      </c>
      <c r="T2" t="str">
        <f>TEXT(B2,"dddd")</f>
        <v>Friday</v>
      </c>
      <c r="U2" t="str">
        <f>Q2</f>
        <v>Cancelled</v>
      </c>
    </row>
    <row r="3" spans="1:21" x14ac:dyDescent="0.3">
      <c r="A3" t="s">
        <v>18</v>
      </c>
      <c r="B3" s="1">
        <v>45736</v>
      </c>
      <c r="C3" t="s">
        <v>19</v>
      </c>
      <c r="D3" t="s">
        <v>20</v>
      </c>
      <c r="E3" s="2">
        <v>100</v>
      </c>
      <c r="F3" s="3">
        <v>4</v>
      </c>
      <c r="G3" s="2">
        <v>400</v>
      </c>
      <c r="H3" t="s">
        <v>21</v>
      </c>
      <c r="I3" t="s">
        <v>22</v>
      </c>
      <c r="J3" t="s">
        <v>16</v>
      </c>
      <c r="K3" t="s">
        <v>23</v>
      </c>
      <c r="L3" t="str">
        <f t="shared" ref="L3:L66" si="0">PROPER(TRIM(C3))</f>
        <v>Headphones</v>
      </c>
      <c r="M3" t="str">
        <f t="shared" ref="M3:M66" si="1">PROPER(TRIM(D3))</f>
        <v>Electronics</v>
      </c>
      <c r="N3" t="str">
        <f t="shared" ref="N3:N66" si="2">PROPER(TRIM(H3))</f>
        <v>Emily Johnson</v>
      </c>
      <c r="O3" t="str">
        <f t="shared" ref="O3:O66" si="3">PROPER(TRIM(I3))</f>
        <v>San Francisco</v>
      </c>
      <c r="P3" t="str">
        <f t="shared" ref="P3:P66" si="4">PROPER(TRIM(J3))</f>
        <v>Debit Card</v>
      </c>
      <c r="Q3" t="str">
        <f t="shared" ref="Q3:Q66" si="5">PROPER(TRIM(K3))</f>
        <v>Pending</v>
      </c>
      <c r="R3" t="b">
        <f t="shared" ref="R3:R66" si="6">E3*F3=G3</f>
        <v>1</v>
      </c>
      <c r="S3" t="str">
        <f t="shared" ref="S3:S66" si="7">TEXT(B3,"MMM")</f>
        <v>Mar</v>
      </c>
      <c r="T3" t="str">
        <f t="shared" ref="T3:T66" si="8">TEXT(B3,"dddd")</f>
        <v>Thursday</v>
      </c>
      <c r="U3" t="str">
        <f t="shared" ref="U3:U66" si="9">Q3</f>
        <v>Pending</v>
      </c>
    </row>
    <row r="4" spans="1:21" x14ac:dyDescent="0.3">
      <c r="A4" t="s">
        <v>24</v>
      </c>
      <c r="B4" s="1">
        <v>45703</v>
      </c>
      <c r="C4" t="s">
        <v>12</v>
      </c>
      <c r="D4" t="s">
        <v>13</v>
      </c>
      <c r="E4" s="2">
        <v>60</v>
      </c>
      <c r="F4" s="3">
        <v>2</v>
      </c>
      <c r="G4" s="2">
        <v>120</v>
      </c>
      <c r="H4" t="s">
        <v>25</v>
      </c>
      <c r="I4" t="s">
        <v>26</v>
      </c>
      <c r="J4" t="s">
        <v>27</v>
      </c>
      <c r="K4" t="s">
        <v>17</v>
      </c>
      <c r="L4" t="str">
        <f t="shared" si="0"/>
        <v>Running Shoes</v>
      </c>
      <c r="M4" t="str">
        <f t="shared" si="1"/>
        <v>Footwear</v>
      </c>
      <c r="N4" t="str">
        <f t="shared" si="2"/>
        <v>John Doe</v>
      </c>
      <c r="O4" t="str">
        <f t="shared" si="3"/>
        <v>Denver</v>
      </c>
      <c r="P4" t="str">
        <f t="shared" si="4"/>
        <v>Amazon Pay</v>
      </c>
      <c r="Q4" t="str">
        <f t="shared" si="5"/>
        <v>Cancelled</v>
      </c>
      <c r="R4" t="b">
        <f t="shared" si="6"/>
        <v>1</v>
      </c>
      <c r="S4" t="str">
        <f t="shared" si="7"/>
        <v>Feb</v>
      </c>
      <c r="T4" t="str">
        <f t="shared" si="8"/>
        <v>Saturday</v>
      </c>
      <c r="U4" t="str">
        <f t="shared" si="9"/>
        <v>Cancelled</v>
      </c>
    </row>
    <row r="5" spans="1:21" x14ac:dyDescent="0.3">
      <c r="A5" t="s">
        <v>28</v>
      </c>
      <c r="B5" s="1">
        <v>45707</v>
      </c>
      <c r="C5" t="s">
        <v>12</v>
      </c>
      <c r="D5" t="s">
        <v>13</v>
      </c>
      <c r="E5" s="2">
        <v>60</v>
      </c>
      <c r="F5" s="3">
        <v>3</v>
      </c>
      <c r="G5" s="2">
        <v>180</v>
      </c>
      <c r="H5" t="s">
        <v>29</v>
      </c>
      <c r="I5" t="s">
        <v>30</v>
      </c>
      <c r="J5" t="s">
        <v>31</v>
      </c>
      <c r="K5" t="s">
        <v>23</v>
      </c>
      <c r="L5" t="str">
        <f t="shared" si="0"/>
        <v>Running Shoes</v>
      </c>
      <c r="M5" t="str">
        <f t="shared" si="1"/>
        <v>Footwear</v>
      </c>
      <c r="N5" t="str">
        <f t="shared" si="2"/>
        <v>Olivia Wilson</v>
      </c>
      <c r="O5" t="str">
        <f t="shared" si="3"/>
        <v>Dallas</v>
      </c>
      <c r="P5" t="str">
        <f t="shared" si="4"/>
        <v>Credit Card</v>
      </c>
      <c r="Q5" t="str">
        <f t="shared" si="5"/>
        <v>Pending</v>
      </c>
      <c r="R5" t="b">
        <f t="shared" si="6"/>
        <v>1</v>
      </c>
      <c r="S5" t="str">
        <f t="shared" si="7"/>
        <v>Feb</v>
      </c>
      <c r="T5" t="str">
        <f t="shared" si="8"/>
        <v>Wednesday</v>
      </c>
      <c r="U5" t="str">
        <f t="shared" si="9"/>
        <v>Pending</v>
      </c>
    </row>
    <row r="6" spans="1:21" x14ac:dyDescent="0.3">
      <c r="A6" t="s">
        <v>32</v>
      </c>
      <c r="B6" s="1">
        <v>45726</v>
      </c>
      <c r="C6" t="s">
        <v>33</v>
      </c>
      <c r="D6" t="s">
        <v>20</v>
      </c>
      <c r="E6" s="2">
        <v>150</v>
      </c>
      <c r="F6" s="3">
        <v>3</v>
      </c>
      <c r="G6" s="2">
        <v>450</v>
      </c>
      <c r="H6" t="s">
        <v>14</v>
      </c>
      <c r="I6" t="s">
        <v>15</v>
      </c>
      <c r="J6" t="s">
        <v>16</v>
      </c>
      <c r="K6" t="s">
        <v>23</v>
      </c>
      <c r="L6" t="str">
        <f t="shared" si="0"/>
        <v>Smartwatch</v>
      </c>
      <c r="M6" t="str">
        <f t="shared" si="1"/>
        <v>Electronics</v>
      </c>
      <c r="N6" t="str">
        <f t="shared" si="2"/>
        <v>Emma Clark</v>
      </c>
      <c r="O6" t="str">
        <f t="shared" si="3"/>
        <v>New York</v>
      </c>
      <c r="P6" t="str">
        <f t="shared" si="4"/>
        <v>Debit Card</v>
      </c>
      <c r="Q6" t="str">
        <f t="shared" si="5"/>
        <v>Pending</v>
      </c>
      <c r="R6" t="b">
        <f t="shared" si="6"/>
        <v>1</v>
      </c>
      <c r="S6" t="str">
        <f t="shared" si="7"/>
        <v>Mar</v>
      </c>
      <c r="T6" t="str">
        <f t="shared" si="8"/>
        <v>Monday</v>
      </c>
      <c r="U6" t="str">
        <f t="shared" si="9"/>
        <v>Pending</v>
      </c>
    </row>
    <row r="7" spans="1:21" x14ac:dyDescent="0.3">
      <c r="A7" t="s">
        <v>34</v>
      </c>
      <c r="B7" s="1">
        <v>45730</v>
      </c>
      <c r="C7" t="s">
        <v>35</v>
      </c>
      <c r="D7" t="s">
        <v>36</v>
      </c>
      <c r="E7" s="2">
        <v>20</v>
      </c>
      <c r="F7" s="3">
        <v>1</v>
      </c>
      <c r="G7" s="2">
        <v>20</v>
      </c>
      <c r="H7" t="s">
        <v>25</v>
      </c>
      <c r="I7" t="s">
        <v>30</v>
      </c>
      <c r="J7" t="s">
        <v>31</v>
      </c>
      <c r="K7" t="s">
        <v>23</v>
      </c>
      <c r="L7" t="str">
        <f t="shared" si="0"/>
        <v>T-Shirt</v>
      </c>
      <c r="M7" t="str">
        <f t="shared" si="1"/>
        <v>Clothing</v>
      </c>
      <c r="N7" t="str">
        <f t="shared" si="2"/>
        <v>John Doe</v>
      </c>
      <c r="O7" t="str">
        <f t="shared" si="3"/>
        <v>Dallas</v>
      </c>
      <c r="P7" t="str">
        <f t="shared" si="4"/>
        <v>Credit Card</v>
      </c>
      <c r="Q7" t="str">
        <f t="shared" si="5"/>
        <v>Pending</v>
      </c>
      <c r="R7" t="b">
        <f t="shared" si="6"/>
        <v>1</v>
      </c>
      <c r="S7" t="str">
        <f t="shared" si="7"/>
        <v>Mar</v>
      </c>
      <c r="T7" t="str">
        <f t="shared" si="8"/>
        <v>Friday</v>
      </c>
      <c r="U7" t="str">
        <f t="shared" si="9"/>
        <v>Pending</v>
      </c>
    </row>
    <row r="8" spans="1:21" x14ac:dyDescent="0.3">
      <c r="A8" t="s">
        <v>37</v>
      </c>
      <c r="B8" s="1">
        <v>45734</v>
      </c>
      <c r="C8" t="s">
        <v>33</v>
      </c>
      <c r="D8" t="s">
        <v>20</v>
      </c>
      <c r="E8" s="2">
        <v>150</v>
      </c>
      <c r="F8" s="3">
        <v>4</v>
      </c>
      <c r="G8" s="2">
        <v>600</v>
      </c>
      <c r="H8" t="s">
        <v>14</v>
      </c>
      <c r="I8" t="s">
        <v>38</v>
      </c>
      <c r="J8" t="s">
        <v>39</v>
      </c>
      <c r="K8" t="s">
        <v>40</v>
      </c>
      <c r="L8" t="str">
        <f t="shared" si="0"/>
        <v>Smartwatch</v>
      </c>
      <c r="M8" t="str">
        <f t="shared" si="1"/>
        <v>Electronics</v>
      </c>
      <c r="N8" t="str">
        <f t="shared" si="2"/>
        <v>Emma Clark</v>
      </c>
      <c r="O8" t="str">
        <f t="shared" si="3"/>
        <v>Houston</v>
      </c>
      <c r="P8" t="str">
        <f t="shared" si="4"/>
        <v>Paypal</v>
      </c>
      <c r="Q8" t="str">
        <f t="shared" si="5"/>
        <v>Completed</v>
      </c>
      <c r="R8" t="b">
        <f t="shared" si="6"/>
        <v>1</v>
      </c>
      <c r="S8" t="str">
        <f t="shared" si="7"/>
        <v>Mar</v>
      </c>
      <c r="T8" t="str">
        <f t="shared" si="8"/>
        <v>Tuesday</v>
      </c>
      <c r="U8" t="str">
        <f t="shared" si="9"/>
        <v>Completed</v>
      </c>
    </row>
    <row r="9" spans="1:21" x14ac:dyDescent="0.3">
      <c r="A9" t="s">
        <v>41</v>
      </c>
      <c r="B9" s="1">
        <v>45718</v>
      </c>
      <c r="C9" t="s">
        <v>42</v>
      </c>
      <c r="D9" t="s">
        <v>20</v>
      </c>
      <c r="E9" s="2">
        <v>500</v>
      </c>
      <c r="F9" s="3">
        <v>1</v>
      </c>
      <c r="G9" s="2">
        <v>500</v>
      </c>
      <c r="H9" t="s">
        <v>43</v>
      </c>
      <c r="I9" t="s">
        <v>44</v>
      </c>
      <c r="J9" t="s">
        <v>39</v>
      </c>
      <c r="K9" t="s">
        <v>40</v>
      </c>
      <c r="L9" t="str">
        <f t="shared" si="0"/>
        <v>Smartphone</v>
      </c>
      <c r="M9" t="str">
        <f t="shared" si="1"/>
        <v>Electronics</v>
      </c>
      <c r="N9" t="str">
        <f t="shared" si="2"/>
        <v>Sophia Miller</v>
      </c>
      <c r="O9" t="str">
        <f t="shared" si="3"/>
        <v>Miami</v>
      </c>
      <c r="P9" t="str">
        <f t="shared" si="4"/>
        <v>Paypal</v>
      </c>
      <c r="Q9" t="str">
        <f t="shared" si="5"/>
        <v>Completed</v>
      </c>
      <c r="R9" t="b">
        <f t="shared" si="6"/>
        <v>1</v>
      </c>
      <c r="S9" t="str">
        <f t="shared" si="7"/>
        <v>Mar</v>
      </c>
      <c r="T9" t="str">
        <f t="shared" si="8"/>
        <v>Sunday</v>
      </c>
      <c r="U9" t="str">
        <f t="shared" si="9"/>
        <v>Completed</v>
      </c>
    </row>
    <row r="10" spans="1:21" x14ac:dyDescent="0.3">
      <c r="A10" t="s">
        <v>45</v>
      </c>
      <c r="B10" s="1">
        <v>45724</v>
      </c>
      <c r="C10" t="s">
        <v>35</v>
      </c>
      <c r="D10" t="s">
        <v>36</v>
      </c>
      <c r="E10" s="2">
        <v>20</v>
      </c>
      <c r="F10" s="3">
        <v>3</v>
      </c>
      <c r="G10" s="2">
        <v>60</v>
      </c>
      <c r="H10" t="s">
        <v>43</v>
      </c>
      <c r="I10" t="s">
        <v>46</v>
      </c>
      <c r="J10" t="s">
        <v>39</v>
      </c>
      <c r="K10" t="s">
        <v>40</v>
      </c>
      <c r="L10" t="str">
        <f t="shared" si="0"/>
        <v>T-Shirt</v>
      </c>
      <c r="M10" t="str">
        <f t="shared" si="1"/>
        <v>Clothing</v>
      </c>
      <c r="N10" t="str">
        <f t="shared" si="2"/>
        <v>Sophia Miller</v>
      </c>
      <c r="O10" t="str">
        <f t="shared" si="3"/>
        <v>Boston</v>
      </c>
      <c r="P10" t="str">
        <f t="shared" si="4"/>
        <v>Paypal</v>
      </c>
      <c r="Q10" t="str">
        <f t="shared" si="5"/>
        <v>Completed</v>
      </c>
      <c r="R10" t="b">
        <f t="shared" si="6"/>
        <v>1</v>
      </c>
      <c r="S10" t="str">
        <f t="shared" si="7"/>
        <v>Mar</v>
      </c>
      <c r="T10" t="str">
        <f t="shared" si="8"/>
        <v>Saturday</v>
      </c>
      <c r="U10" t="str">
        <f t="shared" si="9"/>
        <v>Completed</v>
      </c>
    </row>
    <row r="11" spans="1:21" x14ac:dyDescent="0.3">
      <c r="A11" t="s">
        <v>47</v>
      </c>
      <c r="B11" s="1">
        <v>45728</v>
      </c>
      <c r="C11" t="s">
        <v>42</v>
      </c>
      <c r="D11" t="s">
        <v>20</v>
      </c>
      <c r="E11" s="2">
        <v>500</v>
      </c>
      <c r="F11" s="3">
        <v>1</v>
      </c>
      <c r="G11" s="2">
        <v>500</v>
      </c>
      <c r="H11" t="s">
        <v>21</v>
      </c>
      <c r="I11" t="s">
        <v>22</v>
      </c>
      <c r="J11" t="s">
        <v>31</v>
      </c>
      <c r="K11" t="s">
        <v>17</v>
      </c>
      <c r="L11" t="str">
        <f t="shared" si="0"/>
        <v>Smartphone</v>
      </c>
      <c r="M11" t="str">
        <f t="shared" si="1"/>
        <v>Electronics</v>
      </c>
      <c r="N11" t="str">
        <f t="shared" si="2"/>
        <v>Emily Johnson</v>
      </c>
      <c r="O11" t="str">
        <f t="shared" si="3"/>
        <v>San Francisco</v>
      </c>
      <c r="P11" t="str">
        <f t="shared" si="4"/>
        <v>Credit Card</v>
      </c>
      <c r="Q11" t="str">
        <f t="shared" si="5"/>
        <v>Cancelled</v>
      </c>
      <c r="R11" t="b">
        <f t="shared" si="6"/>
        <v>1</v>
      </c>
      <c r="S11" t="str">
        <f t="shared" si="7"/>
        <v>Mar</v>
      </c>
      <c r="T11" t="str">
        <f t="shared" si="8"/>
        <v>Wednesday</v>
      </c>
      <c r="U11" t="str">
        <f t="shared" si="9"/>
        <v>Cancelled</v>
      </c>
    </row>
    <row r="12" spans="1:21" x14ac:dyDescent="0.3">
      <c r="A12" t="s">
        <v>48</v>
      </c>
      <c r="B12" s="1">
        <v>45705</v>
      </c>
      <c r="C12" t="s">
        <v>49</v>
      </c>
      <c r="D12" t="s">
        <v>50</v>
      </c>
      <c r="E12" s="2">
        <v>15</v>
      </c>
      <c r="F12" s="3">
        <v>2</v>
      </c>
      <c r="G12" s="2">
        <v>30</v>
      </c>
      <c r="H12" t="s">
        <v>51</v>
      </c>
      <c r="I12" t="s">
        <v>46</v>
      </c>
      <c r="J12" t="s">
        <v>27</v>
      </c>
      <c r="K12" t="s">
        <v>23</v>
      </c>
      <c r="L12" t="str">
        <f t="shared" si="0"/>
        <v>Book</v>
      </c>
      <c r="M12" t="str">
        <f t="shared" si="1"/>
        <v>Books</v>
      </c>
      <c r="N12" t="str">
        <f t="shared" si="2"/>
        <v>David Lee</v>
      </c>
      <c r="O12" t="str">
        <f t="shared" si="3"/>
        <v>Boston</v>
      </c>
      <c r="P12" t="str">
        <f t="shared" si="4"/>
        <v>Amazon Pay</v>
      </c>
      <c r="Q12" t="str">
        <f t="shared" si="5"/>
        <v>Pending</v>
      </c>
      <c r="R12" t="b">
        <f t="shared" si="6"/>
        <v>1</v>
      </c>
      <c r="S12" t="str">
        <f t="shared" si="7"/>
        <v>Feb</v>
      </c>
      <c r="T12" t="str">
        <f t="shared" si="8"/>
        <v>Monday</v>
      </c>
      <c r="U12" t="str">
        <f t="shared" si="9"/>
        <v>Pending</v>
      </c>
    </row>
    <row r="13" spans="1:21" x14ac:dyDescent="0.3">
      <c r="A13" t="s">
        <v>52</v>
      </c>
      <c r="B13" s="1">
        <v>45729</v>
      </c>
      <c r="C13" t="s">
        <v>53</v>
      </c>
      <c r="D13" t="s">
        <v>36</v>
      </c>
      <c r="E13" s="2">
        <v>40</v>
      </c>
      <c r="F13" s="3">
        <v>4</v>
      </c>
      <c r="G13" s="2">
        <v>160</v>
      </c>
      <c r="H13" t="s">
        <v>54</v>
      </c>
      <c r="I13" t="s">
        <v>30</v>
      </c>
      <c r="J13" t="s">
        <v>31</v>
      </c>
      <c r="K13" t="s">
        <v>40</v>
      </c>
      <c r="L13" t="str">
        <f t="shared" si="0"/>
        <v>Jeans</v>
      </c>
      <c r="M13" t="str">
        <f t="shared" si="1"/>
        <v>Clothing</v>
      </c>
      <c r="N13" t="str">
        <f t="shared" si="2"/>
        <v>Michael Brown</v>
      </c>
      <c r="O13" t="str">
        <f t="shared" si="3"/>
        <v>Dallas</v>
      </c>
      <c r="P13" t="str">
        <f t="shared" si="4"/>
        <v>Credit Card</v>
      </c>
      <c r="Q13" t="str">
        <f t="shared" si="5"/>
        <v>Completed</v>
      </c>
      <c r="R13" t="b">
        <f t="shared" si="6"/>
        <v>1</v>
      </c>
      <c r="S13" t="str">
        <f t="shared" si="7"/>
        <v>Mar</v>
      </c>
      <c r="T13" t="str">
        <f t="shared" si="8"/>
        <v>Thursday</v>
      </c>
      <c r="U13" t="str">
        <f t="shared" si="9"/>
        <v>Completed</v>
      </c>
    </row>
    <row r="14" spans="1:21" x14ac:dyDescent="0.3">
      <c r="A14" t="s">
        <v>55</v>
      </c>
      <c r="B14" s="1">
        <v>45717</v>
      </c>
      <c r="C14" t="s">
        <v>56</v>
      </c>
      <c r="D14" t="s">
        <v>20</v>
      </c>
      <c r="E14" s="2">
        <v>800</v>
      </c>
      <c r="F14" s="3">
        <v>2</v>
      </c>
      <c r="G14" s="2">
        <v>1600</v>
      </c>
      <c r="H14" t="s">
        <v>57</v>
      </c>
      <c r="I14" t="s">
        <v>22</v>
      </c>
      <c r="J14" t="s">
        <v>58</v>
      </c>
      <c r="K14" t="s">
        <v>23</v>
      </c>
      <c r="L14" t="str">
        <f t="shared" si="0"/>
        <v>Laptop</v>
      </c>
      <c r="M14" t="str">
        <f t="shared" si="1"/>
        <v>Electronics</v>
      </c>
      <c r="N14" t="str">
        <f t="shared" si="2"/>
        <v>Daniel Harris</v>
      </c>
      <c r="O14" t="str">
        <f t="shared" si="3"/>
        <v>San Francisco</v>
      </c>
      <c r="P14" t="str">
        <f t="shared" si="4"/>
        <v>Gift Card</v>
      </c>
      <c r="Q14" t="str">
        <f t="shared" si="5"/>
        <v>Pending</v>
      </c>
      <c r="R14" t="b">
        <f t="shared" si="6"/>
        <v>1</v>
      </c>
      <c r="S14" t="str">
        <f t="shared" si="7"/>
        <v>Mar</v>
      </c>
      <c r="T14" t="str">
        <f t="shared" si="8"/>
        <v>Saturday</v>
      </c>
      <c r="U14" t="str">
        <f t="shared" si="9"/>
        <v>Pending</v>
      </c>
    </row>
    <row r="15" spans="1:21" x14ac:dyDescent="0.3">
      <c r="A15" t="s">
        <v>59</v>
      </c>
      <c r="B15" s="1">
        <v>45720</v>
      </c>
      <c r="C15" t="s">
        <v>60</v>
      </c>
      <c r="D15" t="s">
        <v>61</v>
      </c>
      <c r="E15" s="2">
        <v>600</v>
      </c>
      <c r="F15" s="3">
        <v>3</v>
      </c>
      <c r="G15" s="2">
        <v>1800</v>
      </c>
      <c r="H15" t="s">
        <v>54</v>
      </c>
      <c r="I15" t="s">
        <v>44</v>
      </c>
      <c r="J15" t="s">
        <v>31</v>
      </c>
      <c r="K15" t="s">
        <v>17</v>
      </c>
      <c r="L15" t="str">
        <f t="shared" si="0"/>
        <v>Washing Machine</v>
      </c>
      <c r="M15" t="str">
        <f t="shared" si="1"/>
        <v>Home Appliances</v>
      </c>
      <c r="N15" t="str">
        <f t="shared" si="2"/>
        <v>Michael Brown</v>
      </c>
      <c r="O15" t="str">
        <f t="shared" si="3"/>
        <v>Miami</v>
      </c>
      <c r="P15" t="str">
        <f t="shared" si="4"/>
        <v>Credit Card</v>
      </c>
      <c r="Q15" t="str">
        <f t="shared" si="5"/>
        <v>Cancelled</v>
      </c>
      <c r="R15" t="b">
        <f t="shared" si="6"/>
        <v>1</v>
      </c>
      <c r="S15" t="str">
        <f t="shared" si="7"/>
        <v>Mar</v>
      </c>
      <c r="T15" t="str">
        <f t="shared" si="8"/>
        <v>Tuesday</v>
      </c>
      <c r="U15" t="str">
        <f t="shared" si="9"/>
        <v>Cancelled</v>
      </c>
    </row>
    <row r="16" spans="1:21" x14ac:dyDescent="0.3">
      <c r="A16" t="s">
        <v>62</v>
      </c>
      <c r="B16" s="1">
        <v>45708</v>
      </c>
      <c r="C16" t="s">
        <v>33</v>
      </c>
      <c r="D16" t="s">
        <v>20</v>
      </c>
      <c r="E16" s="2">
        <v>150</v>
      </c>
      <c r="F16" s="3">
        <v>4</v>
      </c>
      <c r="G16" s="2">
        <v>600</v>
      </c>
      <c r="H16" t="s">
        <v>25</v>
      </c>
      <c r="I16" t="s">
        <v>63</v>
      </c>
      <c r="J16" t="s">
        <v>31</v>
      </c>
      <c r="K16" t="s">
        <v>40</v>
      </c>
      <c r="L16" t="str">
        <f t="shared" si="0"/>
        <v>Smartwatch</v>
      </c>
      <c r="M16" t="str">
        <f t="shared" si="1"/>
        <v>Electronics</v>
      </c>
      <c r="N16" t="str">
        <f t="shared" si="2"/>
        <v>John Doe</v>
      </c>
      <c r="O16" t="str">
        <f t="shared" si="3"/>
        <v>Seattle</v>
      </c>
      <c r="P16" t="str">
        <f t="shared" si="4"/>
        <v>Credit Card</v>
      </c>
      <c r="Q16" t="str">
        <f t="shared" si="5"/>
        <v>Completed</v>
      </c>
      <c r="R16" t="b">
        <f t="shared" si="6"/>
        <v>1</v>
      </c>
      <c r="S16" t="str">
        <f t="shared" si="7"/>
        <v>Feb</v>
      </c>
      <c r="T16" t="str">
        <f t="shared" si="8"/>
        <v>Thursday</v>
      </c>
      <c r="U16" t="str">
        <f t="shared" si="9"/>
        <v>Completed</v>
      </c>
    </row>
    <row r="17" spans="1:21" x14ac:dyDescent="0.3">
      <c r="A17" t="s">
        <v>64</v>
      </c>
      <c r="B17" s="1">
        <v>45714</v>
      </c>
      <c r="C17" t="s">
        <v>65</v>
      </c>
      <c r="D17" t="s">
        <v>61</v>
      </c>
      <c r="E17" s="2">
        <v>1200</v>
      </c>
      <c r="F17" s="3">
        <v>1</v>
      </c>
      <c r="G17" s="2">
        <v>1200</v>
      </c>
      <c r="H17" t="s">
        <v>25</v>
      </c>
      <c r="I17" t="s">
        <v>46</v>
      </c>
      <c r="J17" t="s">
        <v>31</v>
      </c>
      <c r="K17" t="s">
        <v>17</v>
      </c>
      <c r="L17" t="str">
        <f t="shared" si="0"/>
        <v>Refrigerator</v>
      </c>
      <c r="M17" t="str">
        <f t="shared" si="1"/>
        <v>Home Appliances</v>
      </c>
      <c r="N17" t="str">
        <f t="shared" si="2"/>
        <v>John Doe</v>
      </c>
      <c r="O17" t="str">
        <f t="shared" si="3"/>
        <v>Boston</v>
      </c>
      <c r="P17" t="str">
        <f t="shared" si="4"/>
        <v>Credit Card</v>
      </c>
      <c r="Q17" t="str">
        <f t="shared" si="5"/>
        <v>Cancelled</v>
      </c>
      <c r="R17" t="b">
        <f t="shared" si="6"/>
        <v>1</v>
      </c>
      <c r="S17" t="str">
        <f t="shared" si="7"/>
        <v>Feb</v>
      </c>
      <c r="T17" t="str">
        <f t="shared" si="8"/>
        <v>Wednesday</v>
      </c>
      <c r="U17" t="str">
        <f t="shared" si="9"/>
        <v>Cancelled</v>
      </c>
    </row>
    <row r="18" spans="1:21" x14ac:dyDescent="0.3">
      <c r="A18" t="s">
        <v>66</v>
      </c>
      <c r="B18" s="1">
        <v>45748</v>
      </c>
      <c r="C18" t="s">
        <v>35</v>
      </c>
      <c r="D18" t="s">
        <v>36</v>
      </c>
      <c r="E18" s="2">
        <v>20</v>
      </c>
      <c r="F18" s="3">
        <v>1</v>
      </c>
      <c r="G18" s="2">
        <v>20</v>
      </c>
      <c r="H18" t="s">
        <v>14</v>
      </c>
      <c r="I18" t="s">
        <v>15</v>
      </c>
      <c r="J18" t="s">
        <v>27</v>
      </c>
      <c r="K18" t="s">
        <v>40</v>
      </c>
      <c r="L18" t="str">
        <f t="shared" si="0"/>
        <v>T-Shirt</v>
      </c>
      <c r="M18" t="str">
        <f t="shared" si="1"/>
        <v>Clothing</v>
      </c>
      <c r="N18" t="str">
        <f t="shared" si="2"/>
        <v>Emma Clark</v>
      </c>
      <c r="O18" t="str">
        <f t="shared" si="3"/>
        <v>New York</v>
      </c>
      <c r="P18" t="str">
        <f t="shared" si="4"/>
        <v>Amazon Pay</v>
      </c>
      <c r="Q18" t="str">
        <f t="shared" si="5"/>
        <v>Completed</v>
      </c>
      <c r="R18" t="b">
        <f t="shared" si="6"/>
        <v>1</v>
      </c>
      <c r="S18" t="str">
        <f t="shared" si="7"/>
        <v>Apr</v>
      </c>
      <c r="T18" t="str">
        <f t="shared" si="8"/>
        <v>Tuesday</v>
      </c>
      <c r="U18" t="str">
        <f t="shared" si="9"/>
        <v>Completed</v>
      </c>
    </row>
    <row r="19" spans="1:21" x14ac:dyDescent="0.3">
      <c r="A19" t="s">
        <v>67</v>
      </c>
      <c r="B19" s="1">
        <v>45698</v>
      </c>
      <c r="C19" t="s">
        <v>42</v>
      </c>
      <c r="D19" t="s">
        <v>20</v>
      </c>
      <c r="E19" s="2">
        <v>500</v>
      </c>
      <c r="F19" s="3">
        <v>2</v>
      </c>
      <c r="G19" s="2">
        <v>1000</v>
      </c>
      <c r="H19" t="s">
        <v>54</v>
      </c>
      <c r="I19" t="s">
        <v>68</v>
      </c>
      <c r="J19" t="s">
        <v>27</v>
      </c>
      <c r="K19" t="s">
        <v>40</v>
      </c>
      <c r="L19" t="str">
        <f t="shared" si="0"/>
        <v>Smartphone</v>
      </c>
      <c r="M19" t="str">
        <f t="shared" si="1"/>
        <v>Electronics</v>
      </c>
      <c r="N19" t="str">
        <f t="shared" si="2"/>
        <v>Michael Brown</v>
      </c>
      <c r="O19" t="str">
        <f t="shared" si="3"/>
        <v>Los Angeles</v>
      </c>
      <c r="P19" t="str">
        <f t="shared" si="4"/>
        <v>Amazon Pay</v>
      </c>
      <c r="Q19" t="str">
        <f t="shared" si="5"/>
        <v>Completed</v>
      </c>
      <c r="R19" t="b">
        <f t="shared" si="6"/>
        <v>1</v>
      </c>
      <c r="S19" t="str">
        <f t="shared" si="7"/>
        <v>Feb</v>
      </c>
      <c r="T19" t="str">
        <f t="shared" si="8"/>
        <v>Monday</v>
      </c>
      <c r="U19" t="str">
        <f t="shared" si="9"/>
        <v>Completed</v>
      </c>
    </row>
    <row r="20" spans="1:21" x14ac:dyDescent="0.3">
      <c r="A20" t="s">
        <v>69</v>
      </c>
      <c r="B20" s="1">
        <v>45738</v>
      </c>
      <c r="C20" t="s">
        <v>12</v>
      </c>
      <c r="D20" t="s">
        <v>13</v>
      </c>
      <c r="E20" s="2">
        <v>60</v>
      </c>
      <c r="F20" s="3">
        <v>3</v>
      </c>
      <c r="G20" s="2">
        <v>180</v>
      </c>
      <c r="H20" t="s">
        <v>29</v>
      </c>
      <c r="I20" t="s">
        <v>38</v>
      </c>
      <c r="J20" t="s">
        <v>31</v>
      </c>
      <c r="K20" t="s">
        <v>40</v>
      </c>
      <c r="L20" t="str">
        <f t="shared" si="0"/>
        <v>Running Shoes</v>
      </c>
      <c r="M20" t="str">
        <f t="shared" si="1"/>
        <v>Footwear</v>
      </c>
      <c r="N20" t="str">
        <f t="shared" si="2"/>
        <v>Olivia Wilson</v>
      </c>
      <c r="O20" t="str">
        <f t="shared" si="3"/>
        <v>Houston</v>
      </c>
      <c r="P20" t="str">
        <f t="shared" si="4"/>
        <v>Credit Card</v>
      </c>
      <c r="Q20" t="str">
        <f t="shared" si="5"/>
        <v>Completed</v>
      </c>
      <c r="R20" t="b">
        <f t="shared" si="6"/>
        <v>1</v>
      </c>
      <c r="S20" t="str">
        <f t="shared" si="7"/>
        <v>Mar</v>
      </c>
      <c r="T20" t="str">
        <f t="shared" si="8"/>
        <v>Saturday</v>
      </c>
      <c r="U20" t="str">
        <f t="shared" si="9"/>
        <v>Completed</v>
      </c>
    </row>
    <row r="21" spans="1:21" x14ac:dyDescent="0.3">
      <c r="A21" t="s">
        <v>70</v>
      </c>
      <c r="B21" s="1">
        <v>45723</v>
      </c>
      <c r="C21" t="s">
        <v>19</v>
      </c>
      <c r="D21" t="s">
        <v>20</v>
      </c>
      <c r="E21" s="2">
        <v>100</v>
      </c>
      <c r="F21" s="3">
        <v>4</v>
      </c>
      <c r="G21" s="2">
        <v>400</v>
      </c>
      <c r="H21" t="s">
        <v>29</v>
      </c>
      <c r="I21" t="s">
        <v>63</v>
      </c>
      <c r="J21" t="s">
        <v>16</v>
      </c>
      <c r="K21" t="s">
        <v>23</v>
      </c>
      <c r="L21" t="str">
        <f t="shared" si="0"/>
        <v>Headphones</v>
      </c>
      <c r="M21" t="str">
        <f t="shared" si="1"/>
        <v>Electronics</v>
      </c>
      <c r="N21" t="str">
        <f t="shared" si="2"/>
        <v>Olivia Wilson</v>
      </c>
      <c r="O21" t="str">
        <f t="shared" si="3"/>
        <v>Seattle</v>
      </c>
      <c r="P21" t="str">
        <f t="shared" si="4"/>
        <v>Debit Card</v>
      </c>
      <c r="Q21" t="str">
        <f t="shared" si="5"/>
        <v>Pending</v>
      </c>
      <c r="R21" t="b">
        <f t="shared" si="6"/>
        <v>1</v>
      </c>
      <c r="S21" t="str">
        <f t="shared" si="7"/>
        <v>Mar</v>
      </c>
      <c r="T21" t="str">
        <f t="shared" si="8"/>
        <v>Friday</v>
      </c>
      <c r="U21" t="str">
        <f t="shared" si="9"/>
        <v>Pending</v>
      </c>
    </row>
    <row r="22" spans="1:21" x14ac:dyDescent="0.3">
      <c r="A22" t="s">
        <v>71</v>
      </c>
      <c r="B22" s="1">
        <v>45693</v>
      </c>
      <c r="C22" t="s">
        <v>19</v>
      </c>
      <c r="D22" t="s">
        <v>20</v>
      </c>
      <c r="E22" s="2">
        <v>100</v>
      </c>
      <c r="F22" s="3">
        <v>3</v>
      </c>
      <c r="G22" s="2">
        <v>300</v>
      </c>
      <c r="H22" t="s">
        <v>72</v>
      </c>
      <c r="I22" t="s">
        <v>44</v>
      </c>
      <c r="J22" t="s">
        <v>16</v>
      </c>
      <c r="K22" t="s">
        <v>17</v>
      </c>
      <c r="L22" t="str">
        <f t="shared" si="0"/>
        <v>Headphones</v>
      </c>
      <c r="M22" t="str">
        <f t="shared" si="1"/>
        <v>Electronics</v>
      </c>
      <c r="N22" t="str">
        <f t="shared" si="2"/>
        <v>Chris White</v>
      </c>
      <c r="O22" t="str">
        <f t="shared" si="3"/>
        <v>Miami</v>
      </c>
      <c r="P22" t="str">
        <f t="shared" si="4"/>
        <v>Debit Card</v>
      </c>
      <c r="Q22" t="str">
        <f t="shared" si="5"/>
        <v>Cancelled</v>
      </c>
      <c r="R22" t="b">
        <f t="shared" si="6"/>
        <v>1</v>
      </c>
      <c r="S22" t="str">
        <f t="shared" si="7"/>
        <v>Feb</v>
      </c>
      <c r="T22" t="str">
        <f t="shared" si="8"/>
        <v>Wednesday</v>
      </c>
      <c r="U22" t="str">
        <f t="shared" si="9"/>
        <v>Cancelled</v>
      </c>
    </row>
    <row r="23" spans="1:21" x14ac:dyDescent="0.3">
      <c r="A23" t="s">
        <v>73</v>
      </c>
      <c r="B23" s="1">
        <v>45723</v>
      </c>
      <c r="C23" t="s">
        <v>65</v>
      </c>
      <c r="D23" t="s">
        <v>61</v>
      </c>
      <c r="E23" s="2">
        <v>1200</v>
      </c>
      <c r="F23" s="3">
        <v>4</v>
      </c>
      <c r="G23" s="2">
        <v>4800</v>
      </c>
      <c r="H23" t="s">
        <v>29</v>
      </c>
      <c r="I23" t="s">
        <v>38</v>
      </c>
      <c r="J23" t="s">
        <v>31</v>
      </c>
      <c r="K23" t="s">
        <v>23</v>
      </c>
      <c r="L23" t="str">
        <f t="shared" si="0"/>
        <v>Refrigerator</v>
      </c>
      <c r="M23" t="str">
        <f t="shared" si="1"/>
        <v>Home Appliances</v>
      </c>
      <c r="N23" t="str">
        <f t="shared" si="2"/>
        <v>Olivia Wilson</v>
      </c>
      <c r="O23" t="str">
        <f t="shared" si="3"/>
        <v>Houston</v>
      </c>
      <c r="P23" t="str">
        <f t="shared" si="4"/>
        <v>Credit Card</v>
      </c>
      <c r="Q23" t="str">
        <f t="shared" si="5"/>
        <v>Pending</v>
      </c>
      <c r="R23" t="b">
        <f t="shared" si="6"/>
        <v>1</v>
      </c>
      <c r="S23" t="str">
        <f t="shared" si="7"/>
        <v>Mar</v>
      </c>
      <c r="T23" t="str">
        <f t="shared" si="8"/>
        <v>Friday</v>
      </c>
      <c r="U23" t="str">
        <f t="shared" si="9"/>
        <v>Pending</v>
      </c>
    </row>
    <row r="24" spans="1:21" x14ac:dyDescent="0.3">
      <c r="A24" t="s">
        <v>74</v>
      </c>
      <c r="B24" s="1">
        <v>45711</v>
      </c>
      <c r="C24" t="s">
        <v>49</v>
      </c>
      <c r="D24" t="s">
        <v>50</v>
      </c>
      <c r="E24" s="2">
        <v>15</v>
      </c>
      <c r="F24" s="3">
        <v>1</v>
      </c>
      <c r="G24" s="2">
        <v>15</v>
      </c>
      <c r="H24" t="s">
        <v>14</v>
      </c>
      <c r="I24" t="s">
        <v>38</v>
      </c>
      <c r="J24" t="s">
        <v>31</v>
      </c>
      <c r="K24" t="s">
        <v>23</v>
      </c>
      <c r="L24" t="str">
        <f t="shared" si="0"/>
        <v>Book</v>
      </c>
      <c r="M24" t="str">
        <f t="shared" si="1"/>
        <v>Books</v>
      </c>
      <c r="N24" t="str">
        <f t="shared" si="2"/>
        <v>Emma Clark</v>
      </c>
      <c r="O24" t="str">
        <f t="shared" si="3"/>
        <v>Houston</v>
      </c>
      <c r="P24" t="str">
        <f t="shared" si="4"/>
        <v>Credit Card</v>
      </c>
      <c r="Q24" t="str">
        <f t="shared" si="5"/>
        <v>Pending</v>
      </c>
      <c r="R24" t="b">
        <f t="shared" si="6"/>
        <v>1</v>
      </c>
      <c r="S24" t="str">
        <f t="shared" si="7"/>
        <v>Feb</v>
      </c>
      <c r="T24" t="str">
        <f t="shared" si="8"/>
        <v>Sunday</v>
      </c>
      <c r="U24" t="str">
        <f t="shared" si="9"/>
        <v>Pending</v>
      </c>
    </row>
    <row r="25" spans="1:21" x14ac:dyDescent="0.3">
      <c r="A25" t="s">
        <v>75</v>
      </c>
      <c r="B25" s="1">
        <v>45740</v>
      </c>
      <c r="C25" t="s">
        <v>65</v>
      </c>
      <c r="D25" t="s">
        <v>61</v>
      </c>
      <c r="E25" s="2">
        <v>1200</v>
      </c>
      <c r="F25" s="3">
        <v>3</v>
      </c>
      <c r="G25" s="2">
        <v>3600</v>
      </c>
      <c r="H25" t="s">
        <v>72</v>
      </c>
      <c r="I25" t="s">
        <v>30</v>
      </c>
      <c r="J25" t="s">
        <v>31</v>
      </c>
      <c r="K25" t="s">
        <v>17</v>
      </c>
      <c r="L25" t="str">
        <f t="shared" si="0"/>
        <v>Refrigerator</v>
      </c>
      <c r="M25" t="str">
        <f t="shared" si="1"/>
        <v>Home Appliances</v>
      </c>
      <c r="N25" t="str">
        <f t="shared" si="2"/>
        <v>Chris White</v>
      </c>
      <c r="O25" t="str">
        <f t="shared" si="3"/>
        <v>Dallas</v>
      </c>
      <c r="P25" t="str">
        <f t="shared" si="4"/>
        <v>Credit Card</v>
      </c>
      <c r="Q25" t="str">
        <f t="shared" si="5"/>
        <v>Cancelled</v>
      </c>
      <c r="R25" t="b">
        <f t="shared" si="6"/>
        <v>1</v>
      </c>
      <c r="S25" t="str">
        <f t="shared" si="7"/>
        <v>Mar</v>
      </c>
      <c r="T25" t="str">
        <f t="shared" si="8"/>
        <v>Monday</v>
      </c>
      <c r="U25" t="str">
        <f t="shared" si="9"/>
        <v>Cancelled</v>
      </c>
    </row>
    <row r="26" spans="1:21" x14ac:dyDescent="0.3">
      <c r="A26" t="s">
        <v>76</v>
      </c>
      <c r="B26" s="1">
        <v>45718</v>
      </c>
      <c r="C26" t="s">
        <v>49</v>
      </c>
      <c r="D26" t="s">
        <v>50</v>
      </c>
      <c r="E26" s="2">
        <v>15</v>
      </c>
      <c r="F26" s="3">
        <v>5</v>
      </c>
      <c r="G26" s="2">
        <v>75</v>
      </c>
      <c r="H26" t="s">
        <v>43</v>
      </c>
      <c r="I26" t="s">
        <v>63</v>
      </c>
      <c r="J26" t="s">
        <v>27</v>
      </c>
      <c r="K26" t="s">
        <v>40</v>
      </c>
      <c r="L26" t="str">
        <f t="shared" si="0"/>
        <v>Book</v>
      </c>
      <c r="M26" t="str">
        <f t="shared" si="1"/>
        <v>Books</v>
      </c>
      <c r="N26" t="str">
        <f t="shared" si="2"/>
        <v>Sophia Miller</v>
      </c>
      <c r="O26" t="str">
        <f t="shared" si="3"/>
        <v>Seattle</v>
      </c>
      <c r="P26" t="str">
        <f t="shared" si="4"/>
        <v>Amazon Pay</v>
      </c>
      <c r="Q26" t="str">
        <f t="shared" si="5"/>
        <v>Completed</v>
      </c>
      <c r="R26" t="b">
        <f t="shared" si="6"/>
        <v>1</v>
      </c>
      <c r="S26" t="str">
        <f t="shared" si="7"/>
        <v>Mar</v>
      </c>
      <c r="T26" t="str">
        <f t="shared" si="8"/>
        <v>Sunday</v>
      </c>
      <c r="U26" t="str">
        <f t="shared" si="9"/>
        <v>Completed</v>
      </c>
    </row>
    <row r="27" spans="1:21" x14ac:dyDescent="0.3">
      <c r="A27" t="s">
        <v>77</v>
      </c>
      <c r="B27" s="1">
        <v>45702</v>
      </c>
      <c r="C27" t="s">
        <v>60</v>
      </c>
      <c r="D27" t="s">
        <v>61</v>
      </c>
      <c r="E27" s="2">
        <v>600</v>
      </c>
      <c r="F27" s="3">
        <v>1</v>
      </c>
      <c r="G27" s="2">
        <v>600</v>
      </c>
      <c r="H27" t="s">
        <v>29</v>
      </c>
      <c r="I27" t="s">
        <v>46</v>
      </c>
      <c r="J27" t="s">
        <v>16</v>
      </c>
      <c r="K27" t="s">
        <v>17</v>
      </c>
      <c r="L27" t="str">
        <f t="shared" si="0"/>
        <v>Washing Machine</v>
      </c>
      <c r="M27" t="str">
        <f t="shared" si="1"/>
        <v>Home Appliances</v>
      </c>
      <c r="N27" t="str">
        <f t="shared" si="2"/>
        <v>Olivia Wilson</v>
      </c>
      <c r="O27" t="str">
        <f t="shared" si="3"/>
        <v>Boston</v>
      </c>
      <c r="P27" t="str">
        <f t="shared" si="4"/>
        <v>Debit Card</v>
      </c>
      <c r="Q27" t="str">
        <f t="shared" si="5"/>
        <v>Cancelled</v>
      </c>
      <c r="R27" t="b">
        <f t="shared" si="6"/>
        <v>1</v>
      </c>
      <c r="S27" t="str">
        <f t="shared" si="7"/>
        <v>Feb</v>
      </c>
      <c r="T27" t="str">
        <f t="shared" si="8"/>
        <v>Friday</v>
      </c>
      <c r="U27" t="str">
        <f t="shared" si="9"/>
        <v>Cancelled</v>
      </c>
    </row>
    <row r="28" spans="1:21" x14ac:dyDescent="0.3">
      <c r="A28" t="s">
        <v>78</v>
      </c>
      <c r="B28" s="1">
        <v>45695</v>
      </c>
      <c r="C28" t="s">
        <v>35</v>
      </c>
      <c r="D28" t="s">
        <v>36</v>
      </c>
      <c r="E28" s="2">
        <v>20</v>
      </c>
      <c r="F28" s="3">
        <v>1</v>
      </c>
      <c r="G28" s="2">
        <v>20</v>
      </c>
      <c r="H28" t="s">
        <v>57</v>
      </c>
      <c r="I28" t="s">
        <v>15</v>
      </c>
      <c r="J28" t="s">
        <v>27</v>
      </c>
      <c r="K28" t="s">
        <v>23</v>
      </c>
      <c r="L28" t="str">
        <f t="shared" si="0"/>
        <v>T-Shirt</v>
      </c>
      <c r="M28" t="str">
        <f t="shared" si="1"/>
        <v>Clothing</v>
      </c>
      <c r="N28" t="str">
        <f t="shared" si="2"/>
        <v>Daniel Harris</v>
      </c>
      <c r="O28" t="str">
        <f t="shared" si="3"/>
        <v>New York</v>
      </c>
      <c r="P28" t="str">
        <f t="shared" si="4"/>
        <v>Amazon Pay</v>
      </c>
      <c r="Q28" t="str">
        <f t="shared" si="5"/>
        <v>Pending</v>
      </c>
      <c r="R28" t="b">
        <f t="shared" si="6"/>
        <v>1</v>
      </c>
      <c r="S28" t="str">
        <f t="shared" si="7"/>
        <v>Feb</v>
      </c>
      <c r="T28" t="str">
        <f t="shared" si="8"/>
        <v>Friday</v>
      </c>
      <c r="U28" t="str">
        <f t="shared" si="9"/>
        <v>Pending</v>
      </c>
    </row>
    <row r="29" spans="1:21" x14ac:dyDescent="0.3">
      <c r="A29" t="s">
        <v>79</v>
      </c>
      <c r="B29" s="1">
        <v>45691</v>
      </c>
      <c r="C29" t="s">
        <v>19</v>
      </c>
      <c r="D29" t="s">
        <v>20</v>
      </c>
      <c r="E29" s="2">
        <v>100</v>
      </c>
      <c r="F29" s="3">
        <v>1</v>
      </c>
      <c r="G29" s="2">
        <v>100</v>
      </c>
      <c r="H29" t="s">
        <v>80</v>
      </c>
      <c r="I29" t="s">
        <v>81</v>
      </c>
      <c r="J29" t="s">
        <v>27</v>
      </c>
      <c r="K29" t="s">
        <v>40</v>
      </c>
      <c r="L29" t="str">
        <f t="shared" si="0"/>
        <v>Headphones</v>
      </c>
      <c r="M29" t="str">
        <f t="shared" si="1"/>
        <v>Electronics</v>
      </c>
      <c r="N29" t="str">
        <f t="shared" si="2"/>
        <v>Jane Smith</v>
      </c>
      <c r="O29" t="str">
        <f t="shared" si="3"/>
        <v>Chicago</v>
      </c>
      <c r="P29" t="str">
        <f t="shared" si="4"/>
        <v>Amazon Pay</v>
      </c>
      <c r="Q29" t="str">
        <f t="shared" si="5"/>
        <v>Completed</v>
      </c>
      <c r="R29" t="b">
        <f t="shared" si="6"/>
        <v>1</v>
      </c>
      <c r="S29" t="str">
        <f t="shared" si="7"/>
        <v>Feb</v>
      </c>
      <c r="T29" t="str">
        <f t="shared" si="8"/>
        <v>Monday</v>
      </c>
      <c r="U29" t="str">
        <f t="shared" si="9"/>
        <v>Completed</v>
      </c>
    </row>
    <row r="30" spans="1:21" x14ac:dyDescent="0.3">
      <c r="A30" t="s">
        <v>82</v>
      </c>
      <c r="B30" s="1">
        <v>45700</v>
      </c>
      <c r="C30" t="s">
        <v>42</v>
      </c>
      <c r="D30" t="s">
        <v>20</v>
      </c>
      <c r="E30" s="2">
        <v>500</v>
      </c>
      <c r="F30" s="3">
        <v>1</v>
      </c>
      <c r="G30" s="2">
        <v>500</v>
      </c>
      <c r="H30" t="s">
        <v>43</v>
      </c>
      <c r="I30" t="s">
        <v>26</v>
      </c>
      <c r="J30" t="s">
        <v>31</v>
      </c>
      <c r="K30" t="s">
        <v>17</v>
      </c>
      <c r="L30" t="str">
        <f t="shared" si="0"/>
        <v>Smartphone</v>
      </c>
      <c r="M30" t="str">
        <f t="shared" si="1"/>
        <v>Electronics</v>
      </c>
      <c r="N30" t="str">
        <f t="shared" si="2"/>
        <v>Sophia Miller</v>
      </c>
      <c r="O30" t="str">
        <f t="shared" si="3"/>
        <v>Denver</v>
      </c>
      <c r="P30" t="str">
        <f t="shared" si="4"/>
        <v>Credit Card</v>
      </c>
      <c r="Q30" t="str">
        <f t="shared" si="5"/>
        <v>Cancelled</v>
      </c>
      <c r="R30" t="b">
        <f t="shared" si="6"/>
        <v>1</v>
      </c>
      <c r="S30" t="str">
        <f t="shared" si="7"/>
        <v>Feb</v>
      </c>
      <c r="T30" t="str">
        <f t="shared" si="8"/>
        <v>Wednesday</v>
      </c>
      <c r="U30" t="str">
        <f t="shared" si="9"/>
        <v>Cancelled</v>
      </c>
    </row>
    <row r="31" spans="1:21" x14ac:dyDescent="0.3">
      <c r="A31" t="s">
        <v>83</v>
      </c>
      <c r="B31" s="1">
        <v>45698</v>
      </c>
      <c r="C31" t="s">
        <v>60</v>
      </c>
      <c r="D31" t="s">
        <v>61</v>
      </c>
      <c r="E31" s="2">
        <v>600</v>
      </c>
      <c r="F31" s="3">
        <v>3</v>
      </c>
      <c r="G31" s="2">
        <v>1800</v>
      </c>
      <c r="H31" t="s">
        <v>21</v>
      </c>
      <c r="I31" t="s">
        <v>30</v>
      </c>
      <c r="J31" t="s">
        <v>58</v>
      </c>
      <c r="K31" t="s">
        <v>17</v>
      </c>
      <c r="L31" t="str">
        <f t="shared" si="0"/>
        <v>Washing Machine</v>
      </c>
      <c r="M31" t="str">
        <f t="shared" si="1"/>
        <v>Home Appliances</v>
      </c>
      <c r="N31" t="str">
        <f t="shared" si="2"/>
        <v>Emily Johnson</v>
      </c>
      <c r="O31" t="str">
        <f t="shared" si="3"/>
        <v>Dallas</v>
      </c>
      <c r="P31" t="str">
        <f t="shared" si="4"/>
        <v>Gift Card</v>
      </c>
      <c r="Q31" t="str">
        <f t="shared" si="5"/>
        <v>Cancelled</v>
      </c>
      <c r="R31" t="b">
        <f t="shared" si="6"/>
        <v>1</v>
      </c>
      <c r="S31" t="str">
        <f t="shared" si="7"/>
        <v>Feb</v>
      </c>
      <c r="T31" t="str">
        <f t="shared" si="8"/>
        <v>Monday</v>
      </c>
      <c r="U31" t="str">
        <f t="shared" si="9"/>
        <v>Cancelled</v>
      </c>
    </row>
    <row r="32" spans="1:21" x14ac:dyDescent="0.3">
      <c r="A32" t="s">
        <v>84</v>
      </c>
      <c r="B32" s="1">
        <v>45740</v>
      </c>
      <c r="C32" t="s">
        <v>42</v>
      </c>
      <c r="D32" t="s">
        <v>20</v>
      </c>
      <c r="E32" s="2">
        <v>500</v>
      </c>
      <c r="F32" s="3">
        <v>1</v>
      </c>
      <c r="G32" s="2">
        <v>500</v>
      </c>
      <c r="H32" t="s">
        <v>25</v>
      </c>
      <c r="I32" t="s">
        <v>38</v>
      </c>
      <c r="J32" t="s">
        <v>58</v>
      </c>
      <c r="K32" t="s">
        <v>23</v>
      </c>
      <c r="L32" t="str">
        <f t="shared" si="0"/>
        <v>Smartphone</v>
      </c>
      <c r="M32" t="str">
        <f t="shared" si="1"/>
        <v>Electronics</v>
      </c>
      <c r="N32" t="str">
        <f t="shared" si="2"/>
        <v>John Doe</v>
      </c>
      <c r="O32" t="str">
        <f t="shared" si="3"/>
        <v>Houston</v>
      </c>
      <c r="P32" t="str">
        <f t="shared" si="4"/>
        <v>Gift Card</v>
      </c>
      <c r="Q32" t="str">
        <f t="shared" si="5"/>
        <v>Pending</v>
      </c>
      <c r="R32" t="b">
        <f t="shared" si="6"/>
        <v>1</v>
      </c>
      <c r="S32" t="str">
        <f t="shared" si="7"/>
        <v>Mar</v>
      </c>
      <c r="T32" t="str">
        <f t="shared" si="8"/>
        <v>Monday</v>
      </c>
      <c r="U32" t="str">
        <f t="shared" si="9"/>
        <v>Pending</v>
      </c>
    </row>
    <row r="33" spans="1:21" x14ac:dyDescent="0.3">
      <c r="A33" t="s">
        <v>85</v>
      </c>
      <c r="B33" s="1">
        <v>45726</v>
      </c>
      <c r="C33" t="s">
        <v>42</v>
      </c>
      <c r="D33" t="s">
        <v>20</v>
      </c>
      <c r="E33" s="2">
        <v>500</v>
      </c>
      <c r="F33" s="3">
        <v>4</v>
      </c>
      <c r="G33" s="2">
        <v>2000</v>
      </c>
      <c r="H33" t="s">
        <v>54</v>
      </c>
      <c r="I33" t="s">
        <v>63</v>
      </c>
      <c r="J33" t="s">
        <v>39</v>
      </c>
      <c r="K33" t="s">
        <v>23</v>
      </c>
      <c r="L33" t="str">
        <f t="shared" si="0"/>
        <v>Smartphone</v>
      </c>
      <c r="M33" t="str">
        <f t="shared" si="1"/>
        <v>Electronics</v>
      </c>
      <c r="N33" t="str">
        <f t="shared" si="2"/>
        <v>Michael Brown</v>
      </c>
      <c r="O33" t="str">
        <f t="shared" si="3"/>
        <v>Seattle</v>
      </c>
      <c r="P33" t="str">
        <f t="shared" si="4"/>
        <v>Paypal</v>
      </c>
      <c r="Q33" t="str">
        <f t="shared" si="5"/>
        <v>Pending</v>
      </c>
      <c r="R33" t="b">
        <f t="shared" si="6"/>
        <v>1</v>
      </c>
      <c r="S33" t="str">
        <f t="shared" si="7"/>
        <v>Mar</v>
      </c>
      <c r="T33" t="str">
        <f t="shared" si="8"/>
        <v>Monday</v>
      </c>
      <c r="U33" t="str">
        <f t="shared" si="9"/>
        <v>Pending</v>
      </c>
    </row>
    <row r="34" spans="1:21" x14ac:dyDescent="0.3">
      <c r="A34" t="s">
        <v>86</v>
      </c>
      <c r="B34" s="1">
        <v>45692</v>
      </c>
      <c r="C34" t="s">
        <v>49</v>
      </c>
      <c r="D34" t="s">
        <v>50</v>
      </c>
      <c r="E34" s="2">
        <v>15</v>
      </c>
      <c r="F34" s="3">
        <v>1</v>
      </c>
      <c r="G34" s="2">
        <v>15</v>
      </c>
      <c r="H34" t="s">
        <v>29</v>
      </c>
      <c r="I34" t="s">
        <v>15</v>
      </c>
      <c r="J34" t="s">
        <v>16</v>
      </c>
      <c r="K34" t="s">
        <v>17</v>
      </c>
      <c r="L34" t="str">
        <f t="shared" si="0"/>
        <v>Book</v>
      </c>
      <c r="M34" t="str">
        <f t="shared" si="1"/>
        <v>Books</v>
      </c>
      <c r="N34" t="str">
        <f t="shared" si="2"/>
        <v>Olivia Wilson</v>
      </c>
      <c r="O34" t="str">
        <f t="shared" si="3"/>
        <v>New York</v>
      </c>
      <c r="P34" t="str">
        <f t="shared" si="4"/>
        <v>Debit Card</v>
      </c>
      <c r="Q34" t="str">
        <f t="shared" si="5"/>
        <v>Cancelled</v>
      </c>
      <c r="R34" t="b">
        <f t="shared" si="6"/>
        <v>1</v>
      </c>
      <c r="S34" t="str">
        <f t="shared" si="7"/>
        <v>Feb</v>
      </c>
      <c r="T34" t="str">
        <f t="shared" si="8"/>
        <v>Tuesday</v>
      </c>
      <c r="U34" t="str">
        <f t="shared" si="9"/>
        <v>Cancelled</v>
      </c>
    </row>
    <row r="35" spans="1:21" x14ac:dyDescent="0.3">
      <c r="A35" t="s">
        <v>87</v>
      </c>
      <c r="B35" s="1">
        <v>45749</v>
      </c>
      <c r="C35" t="s">
        <v>35</v>
      </c>
      <c r="D35" t="s">
        <v>36</v>
      </c>
      <c r="E35" s="2">
        <v>20</v>
      </c>
      <c r="F35" s="3">
        <v>5</v>
      </c>
      <c r="G35" s="2">
        <v>100</v>
      </c>
      <c r="H35" t="s">
        <v>80</v>
      </c>
      <c r="I35" t="s">
        <v>15</v>
      </c>
      <c r="J35" t="s">
        <v>31</v>
      </c>
      <c r="K35" t="s">
        <v>23</v>
      </c>
      <c r="L35" t="str">
        <f t="shared" si="0"/>
        <v>T-Shirt</v>
      </c>
      <c r="M35" t="str">
        <f t="shared" si="1"/>
        <v>Clothing</v>
      </c>
      <c r="N35" t="str">
        <f t="shared" si="2"/>
        <v>Jane Smith</v>
      </c>
      <c r="O35" t="str">
        <f t="shared" si="3"/>
        <v>New York</v>
      </c>
      <c r="P35" t="str">
        <f t="shared" si="4"/>
        <v>Credit Card</v>
      </c>
      <c r="Q35" t="str">
        <f t="shared" si="5"/>
        <v>Pending</v>
      </c>
      <c r="R35" t="b">
        <f t="shared" si="6"/>
        <v>1</v>
      </c>
      <c r="S35" t="str">
        <f t="shared" si="7"/>
        <v>Apr</v>
      </c>
      <c r="T35" t="str">
        <f t="shared" si="8"/>
        <v>Wednesday</v>
      </c>
      <c r="U35" t="str">
        <f t="shared" si="9"/>
        <v>Pending</v>
      </c>
    </row>
    <row r="36" spans="1:21" x14ac:dyDescent="0.3">
      <c r="A36" t="s">
        <v>88</v>
      </c>
      <c r="B36" s="1">
        <v>45749</v>
      </c>
      <c r="C36" t="s">
        <v>56</v>
      </c>
      <c r="D36" t="s">
        <v>20</v>
      </c>
      <c r="E36" s="2">
        <v>800</v>
      </c>
      <c r="F36" s="3">
        <v>3</v>
      </c>
      <c r="G36" s="2">
        <v>2400</v>
      </c>
      <c r="H36" t="s">
        <v>14</v>
      </c>
      <c r="I36" t="s">
        <v>26</v>
      </c>
      <c r="J36" t="s">
        <v>27</v>
      </c>
      <c r="K36" t="s">
        <v>40</v>
      </c>
      <c r="L36" t="str">
        <f t="shared" si="0"/>
        <v>Laptop</v>
      </c>
      <c r="M36" t="str">
        <f t="shared" si="1"/>
        <v>Electronics</v>
      </c>
      <c r="N36" t="str">
        <f t="shared" si="2"/>
        <v>Emma Clark</v>
      </c>
      <c r="O36" t="str">
        <f t="shared" si="3"/>
        <v>Denver</v>
      </c>
      <c r="P36" t="str">
        <f t="shared" si="4"/>
        <v>Amazon Pay</v>
      </c>
      <c r="Q36" t="str">
        <f t="shared" si="5"/>
        <v>Completed</v>
      </c>
      <c r="R36" t="b">
        <f t="shared" si="6"/>
        <v>1</v>
      </c>
      <c r="S36" t="str">
        <f t="shared" si="7"/>
        <v>Apr</v>
      </c>
      <c r="T36" t="str">
        <f t="shared" si="8"/>
        <v>Wednesday</v>
      </c>
      <c r="U36" t="str">
        <f t="shared" si="9"/>
        <v>Completed</v>
      </c>
    </row>
    <row r="37" spans="1:21" x14ac:dyDescent="0.3">
      <c r="A37" t="s">
        <v>89</v>
      </c>
      <c r="B37" s="1">
        <v>45697</v>
      </c>
      <c r="C37" t="s">
        <v>65</v>
      </c>
      <c r="D37" t="s">
        <v>61</v>
      </c>
      <c r="E37" s="2">
        <v>1200</v>
      </c>
      <c r="F37" s="3">
        <v>2</v>
      </c>
      <c r="G37" s="2">
        <v>2400</v>
      </c>
      <c r="H37" t="s">
        <v>43</v>
      </c>
      <c r="I37" t="s">
        <v>46</v>
      </c>
      <c r="J37" t="s">
        <v>39</v>
      </c>
      <c r="K37" t="s">
        <v>17</v>
      </c>
      <c r="L37" t="str">
        <f t="shared" si="0"/>
        <v>Refrigerator</v>
      </c>
      <c r="M37" t="str">
        <f t="shared" si="1"/>
        <v>Home Appliances</v>
      </c>
      <c r="N37" t="str">
        <f t="shared" si="2"/>
        <v>Sophia Miller</v>
      </c>
      <c r="O37" t="str">
        <f t="shared" si="3"/>
        <v>Boston</v>
      </c>
      <c r="P37" t="str">
        <f t="shared" si="4"/>
        <v>Paypal</v>
      </c>
      <c r="Q37" t="str">
        <f t="shared" si="5"/>
        <v>Cancelled</v>
      </c>
      <c r="R37" t="b">
        <f t="shared" si="6"/>
        <v>1</v>
      </c>
      <c r="S37" t="str">
        <f t="shared" si="7"/>
        <v>Feb</v>
      </c>
      <c r="T37" t="str">
        <f t="shared" si="8"/>
        <v>Sunday</v>
      </c>
      <c r="U37" t="str">
        <f t="shared" si="9"/>
        <v>Cancelled</v>
      </c>
    </row>
    <row r="38" spans="1:21" x14ac:dyDescent="0.3">
      <c r="A38" t="s">
        <v>90</v>
      </c>
      <c r="B38" s="1">
        <v>45704</v>
      </c>
      <c r="C38" t="s">
        <v>19</v>
      </c>
      <c r="D38" t="s">
        <v>20</v>
      </c>
      <c r="E38" s="2">
        <v>100</v>
      </c>
      <c r="F38" s="3">
        <v>3</v>
      </c>
      <c r="G38" s="2">
        <v>300</v>
      </c>
      <c r="H38" t="s">
        <v>54</v>
      </c>
      <c r="I38" t="s">
        <v>15</v>
      </c>
      <c r="J38" t="s">
        <v>16</v>
      </c>
      <c r="K38" t="s">
        <v>17</v>
      </c>
      <c r="L38" t="str">
        <f t="shared" si="0"/>
        <v>Headphones</v>
      </c>
      <c r="M38" t="str">
        <f t="shared" si="1"/>
        <v>Electronics</v>
      </c>
      <c r="N38" t="str">
        <f t="shared" si="2"/>
        <v>Michael Brown</v>
      </c>
      <c r="O38" t="str">
        <f t="shared" si="3"/>
        <v>New York</v>
      </c>
      <c r="P38" t="str">
        <f t="shared" si="4"/>
        <v>Debit Card</v>
      </c>
      <c r="Q38" t="str">
        <f t="shared" si="5"/>
        <v>Cancelled</v>
      </c>
      <c r="R38" t="b">
        <f t="shared" si="6"/>
        <v>1</v>
      </c>
      <c r="S38" t="str">
        <f t="shared" si="7"/>
        <v>Feb</v>
      </c>
      <c r="T38" t="str">
        <f t="shared" si="8"/>
        <v>Sunday</v>
      </c>
      <c r="U38" t="str">
        <f t="shared" si="9"/>
        <v>Cancelled</v>
      </c>
    </row>
    <row r="39" spans="1:21" x14ac:dyDescent="0.3">
      <c r="A39" t="s">
        <v>91</v>
      </c>
      <c r="B39" s="1">
        <v>45742</v>
      </c>
      <c r="C39" t="s">
        <v>56</v>
      </c>
      <c r="D39" t="s">
        <v>20</v>
      </c>
      <c r="E39" s="2">
        <v>800</v>
      </c>
      <c r="F39" s="3">
        <v>3</v>
      </c>
      <c r="G39" s="2">
        <v>2400</v>
      </c>
      <c r="H39" t="s">
        <v>29</v>
      </c>
      <c r="I39" t="s">
        <v>81</v>
      </c>
      <c r="J39" t="s">
        <v>27</v>
      </c>
      <c r="K39" t="s">
        <v>40</v>
      </c>
      <c r="L39" t="str">
        <f t="shared" si="0"/>
        <v>Laptop</v>
      </c>
      <c r="M39" t="str">
        <f t="shared" si="1"/>
        <v>Electronics</v>
      </c>
      <c r="N39" t="str">
        <f t="shared" si="2"/>
        <v>Olivia Wilson</v>
      </c>
      <c r="O39" t="str">
        <f t="shared" si="3"/>
        <v>Chicago</v>
      </c>
      <c r="P39" t="str">
        <f t="shared" si="4"/>
        <v>Amazon Pay</v>
      </c>
      <c r="Q39" t="str">
        <f t="shared" si="5"/>
        <v>Completed</v>
      </c>
      <c r="R39" t="b">
        <f t="shared" si="6"/>
        <v>1</v>
      </c>
      <c r="S39" t="str">
        <f t="shared" si="7"/>
        <v>Mar</v>
      </c>
      <c r="T39" t="str">
        <f t="shared" si="8"/>
        <v>Wednesday</v>
      </c>
      <c r="U39" t="str">
        <f t="shared" si="9"/>
        <v>Completed</v>
      </c>
    </row>
    <row r="40" spans="1:21" x14ac:dyDescent="0.3">
      <c r="A40" t="s">
        <v>92</v>
      </c>
      <c r="B40" s="1">
        <v>45718</v>
      </c>
      <c r="C40" t="s">
        <v>56</v>
      </c>
      <c r="D40" t="s">
        <v>20</v>
      </c>
      <c r="E40" s="2">
        <v>800</v>
      </c>
      <c r="F40" s="3">
        <v>2</v>
      </c>
      <c r="G40" s="2">
        <v>1600</v>
      </c>
      <c r="H40" t="s">
        <v>29</v>
      </c>
      <c r="I40" t="s">
        <v>22</v>
      </c>
      <c r="J40" t="s">
        <v>39</v>
      </c>
      <c r="K40" t="s">
        <v>40</v>
      </c>
      <c r="L40" t="str">
        <f t="shared" si="0"/>
        <v>Laptop</v>
      </c>
      <c r="M40" t="str">
        <f t="shared" si="1"/>
        <v>Electronics</v>
      </c>
      <c r="N40" t="str">
        <f t="shared" si="2"/>
        <v>Olivia Wilson</v>
      </c>
      <c r="O40" t="str">
        <f t="shared" si="3"/>
        <v>San Francisco</v>
      </c>
      <c r="P40" t="str">
        <f t="shared" si="4"/>
        <v>Paypal</v>
      </c>
      <c r="Q40" t="str">
        <f t="shared" si="5"/>
        <v>Completed</v>
      </c>
      <c r="R40" t="b">
        <f t="shared" si="6"/>
        <v>1</v>
      </c>
      <c r="S40" t="str">
        <f t="shared" si="7"/>
        <v>Mar</v>
      </c>
      <c r="T40" t="str">
        <f t="shared" si="8"/>
        <v>Sunday</v>
      </c>
      <c r="U40" t="str">
        <f t="shared" si="9"/>
        <v>Completed</v>
      </c>
    </row>
    <row r="41" spans="1:21" x14ac:dyDescent="0.3">
      <c r="A41" t="s">
        <v>93</v>
      </c>
      <c r="B41" s="1">
        <v>45742</v>
      </c>
      <c r="C41" t="s">
        <v>33</v>
      </c>
      <c r="D41" t="s">
        <v>20</v>
      </c>
      <c r="E41" s="2">
        <v>150</v>
      </c>
      <c r="F41" s="3">
        <v>1</v>
      </c>
      <c r="G41" s="2">
        <v>150</v>
      </c>
      <c r="H41" t="s">
        <v>21</v>
      </c>
      <c r="I41" t="s">
        <v>63</v>
      </c>
      <c r="J41" t="s">
        <v>58</v>
      </c>
      <c r="K41" t="s">
        <v>23</v>
      </c>
      <c r="L41" t="str">
        <f t="shared" si="0"/>
        <v>Smartwatch</v>
      </c>
      <c r="M41" t="str">
        <f t="shared" si="1"/>
        <v>Electronics</v>
      </c>
      <c r="N41" t="str">
        <f t="shared" si="2"/>
        <v>Emily Johnson</v>
      </c>
      <c r="O41" t="str">
        <f t="shared" si="3"/>
        <v>Seattle</v>
      </c>
      <c r="P41" t="str">
        <f t="shared" si="4"/>
        <v>Gift Card</v>
      </c>
      <c r="Q41" t="str">
        <f t="shared" si="5"/>
        <v>Pending</v>
      </c>
      <c r="R41" t="b">
        <f t="shared" si="6"/>
        <v>1</v>
      </c>
      <c r="S41" t="str">
        <f t="shared" si="7"/>
        <v>Mar</v>
      </c>
      <c r="T41" t="str">
        <f t="shared" si="8"/>
        <v>Wednesday</v>
      </c>
      <c r="U41" t="str">
        <f t="shared" si="9"/>
        <v>Pending</v>
      </c>
    </row>
    <row r="42" spans="1:21" x14ac:dyDescent="0.3">
      <c r="A42" t="s">
        <v>94</v>
      </c>
      <c r="B42" s="1">
        <v>45708</v>
      </c>
      <c r="C42" t="s">
        <v>49</v>
      </c>
      <c r="D42" t="s">
        <v>50</v>
      </c>
      <c r="E42" s="2">
        <v>15</v>
      </c>
      <c r="F42" s="3">
        <v>1</v>
      </c>
      <c r="G42" s="2">
        <v>15</v>
      </c>
      <c r="H42" t="s">
        <v>80</v>
      </c>
      <c r="I42" t="s">
        <v>44</v>
      </c>
      <c r="J42" t="s">
        <v>31</v>
      </c>
      <c r="K42" t="s">
        <v>17</v>
      </c>
      <c r="L42" t="str">
        <f t="shared" si="0"/>
        <v>Book</v>
      </c>
      <c r="M42" t="str">
        <f t="shared" si="1"/>
        <v>Books</v>
      </c>
      <c r="N42" t="str">
        <f t="shared" si="2"/>
        <v>Jane Smith</v>
      </c>
      <c r="O42" t="str">
        <f t="shared" si="3"/>
        <v>Miami</v>
      </c>
      <c r="P42" t="str">
        <f t="shared" si="4"/>
        <v>Credit Card</v>
      </c>
      <c r="Q42" t="str">
        <f t="shared" si="5"/>
        <v>Cancelled</v>
      </c>
      <c r="R42" t="b">
        <f t="shared" si="6"/>
        <v>1</v>
      </c>
      <c r="S42" t="str">
        <f t="shared" si="7"/>
        <v>Feb</v>
      </c>
      <c r="T42" t="str">
        <f t="shared" si="8"/>
        <v>Thursday</v>
      </c>
      <c r="U42" t="str">
        <f t="shared" si="9"/>
        <v>Cancelled</v>
      </c>
    </row>
    <row r="43" spans="1:21" x14ac:dyDescent="0.3">
      <c r="A43" t="s">
        <v>95</v>
      </c>
      <c r="B43" s="1">
        <v>45733</v>
      </c>
      <c r="C43" t="s">
        <v>19</v>
      </c>
      <c r="D43" t="s">
        <v>20</v>
      </c>
      <c r="E43" s="2">
        <v>100</v>
      </c>
      <c r="F43" s="3">
        <v>3</v>
      </c>
      <c r="G43" s="2">
        <v>300</v>
      </c>
      <c r="H43" t="s">
        <v>80</v>
      </c>
      <c r="I43" t="s">
        <v>81</v>
      </c>
      <c r="J43" t="s">
        <v>27</v>
      </c>
      <c r="K43" t="s">
        <v>17</v>
      </c>
      <c r="L43" t="str">
        <f t="shared" si="0"/>
        <v>Headphones</v>
      </c>
      <c r="M43" t="str">
        <f t="shared" si="1"/>
        <v>Electronics</v>
      </c>
      <c r="N43" t="str">
        <f t="shared" si="2"/>
        <v>Jane Smith</v>
      </c>
      <c r="O43" t="str">
        <f t="shared" si="3"/>
        <v>Chicago</v>
      </c>
      <c r="P43" t="str">
        <f t="shared" si="4"/>
        <v>Amazon Pay</v>
      </c>
      <c r="Q43" t="str">
        <f t="shared" si="5"/>
        <v>Cancelled</v>
      </c>
      <c r="R43" t="b">
        <f t="shared" si="6"/>
        <v>1</v>
      </c>
      <c r="S43" t="str">
        <f t="shared" si="7"/>
        <v>Mar</v>
      </c>
      <c r="T43" t="str">
        <f t="shared" si="8"/>
        <v>Monday</v>
      </c>
      <c r="U43" t="str">
        <f t="shared" si="9"/>
        <v>Cancelled</v>
      </c>
    </row>
    <row r="44" spans="1:21" x14ac:dyDescent="0.3">
      <c r="A44" t="s">
        <v>96</v>
      </c>
      <c r="B44" s="1">
        <v>45696</v>
      </c>
      <c r="C44" t="s">
        <v>35</v>
      </c>
      <c r="D44" t="s">
        <v>36</v>
      </c>
      <c r="E44" s="2">
        <v>20</v>
      </c>
      <c r="F44" s="3">
        <v>4</v>
      </c>
      <c r="G44" s="2">
        <v>80</v>
      </c>
      <c r="H44" t="s">
        <v>80</v>
      </c>
      <c r="I44" t="s">
        <v>26</v>
      </c>
      <c r="J44" t="s">
        <v>31</v>
      </c>
      <c r="K44" t="s">
        <v>23</v>
      </c>
      <c r="L44" t="str">
        <f t="shared" si="0"/>
        <v>T-Shirt</v>
      </c>
      <c r="M44" t="str">
        <f t="shared" si="1"/>
        <v>Clothing</v>
      </c>
      <c r="N44" t="str">
        <f t="shared" si="2"/>
        <v>Jane Smith</v>
      </c>
      <c r="O44" t="str">
        <f t="shared" si="3"/>
        <v>Denver</v>
      </c>
      <c r="P44" t="str">
        <f t="shared" si="4"/>
        <v>Credit Card</v>
      </c>
      <c r="Q44" t="str">
        <f t="shared" si="5"/>
        <v>Pending</v>
      </c>
      <c r="R44" t="b">
        <f t="shared" si="6"/>
        <v>1</v>
      </c>
      <c r="S44" t="str">
        <f t="shared" si="7"/>
        <v>Feb</v>
      </c>
      <c r="T44" t="str">
        <f t="shared" si="8"/>
        <v>Saturday</v>
      </c>
      <c r="U44" t="str">
        <f t="shared" si="9"/>
        <v>Pending</v>
      </c>
    </row>
    <row r="45" spans="1:21" x14ac:dyDescent="0.3">
      <c r="A45" t="s">
        <v>97</v>
      </c>
      <c r="B45" s="1">
        <v>45740</v>
      </c>
      <c r="C45" t="s">
        <v>33</v>
      </c>
      <c r="D45" t="s">
        <v>20</v>
      </c>
      <c r="E45" s="2">
        <v>150</v>
      </c>
      <c r="F45" s="3">
        <v>1</v>
      </c>
      <c r="G45" s="2">
        <v>150</v>
      </c>
      <c r="H45" t="s">
        <v>72</v>
      </c>
      <c r="I45" t="s">
        <v>38</v>
      </c>
      <c r="J45" t="s">
        <v>16</v>
      </c>
      <c r="K45" t="s">
        <v>23</v>
      </c>
      <c r="L45" t="str">
        <f t="shared" si="0"/>
        <v>Smartwatch</v>
      </c>
      <c r="M45" t="str">
        <f t="shared" si="1"/>
        <v>Electronics</v>
      </c>
      <c r="N45" t="str">
        <f t="shared" si="2"/>
        <v>Chris White</v>
      </c>
      <c r="O45" t="str">
        <f t="shared" si="3"/>
        <v>Houston</v>
      </c>
      <c r="P45" t="str">
        <f t="shared" si="4"/>
        <v>Debit Card</v>
      </c>
      <c r="Q45" t="str">
        <f t="shared" si="5"/>
        <v>Pending</v>
      </c>
      <c r="R45" t="b">
        <f t="shared" si="6"/>
        <v>1</v>
      </c>
      <c r="S45" t="str">
        <f t="shared" si="7"/>
        <v>Mar</v>
      </c>
      <c r="T45" t="str">
        <f t="shared" si="8"/>
        <v>Monday</v>
      </c>
      <c r="U45" t="str">
        <f t="shared" si="9"/>
        <v>Pending</v>
      </c>
    </row>
    <row r="46" spans="1:21" x14ac:dyDescent="0.3">
      <c r="A46" t="s">
        <v>98</v>
      </c>
      <c r="B46" s="1">
        <v>45731</v>
      </c>
      <c r="C46" t="s">
        <v>65</v>
      </c>
      <c r="D46" t="s">
        <v>61</v>
      </c>
      <c r="E46" s="2">
        <v>1200</v>
      </c>
      <c r="F46" s="3">
        <v>3</v>
      </c>
      <c r="G46" s="2">
        <v>3600</v>
      </c>
      <c r="H46" t="s">
        <v>57</v>
      </c>
      <c r="I46" t="s">
        <v>15</v>
      </c>
      <c r="J46" t="s">
        <v>31</v>
      </c>
      <c r="K46" t="s">
        <v>23</v>
      </c>
      <c r="L46" t="str">
        <f t="shared" si="0"/>
        <v>Refrigerator</v>
      </c>
      <c r="M46" t="str">
        <f t="shared" si="1"/>
        <v>Home Appliances</v>
      </c>
      <c r="N46" t="str">
        <f t="shared" si="2"/>
        <v>Daniel Harris</v>
      </c>
      <c r="O46" t="str">
        <f t="shared" si="3"/>
        <v>New York</v>
      </c>
      <c r="P46" t="str">
        <f t="shared" si="4"/>
        <v>Credit Card</v>
      </c>
      <c r="Q46" t="str">
        <f t="shared" si="5"/>
        <v>Pending</v>
      </c>
      <c r="R46" t="b">
        <f t="shared" si="6"/>
        <v>1</v>
      </c>
      <c r="S46" t="str">
        <f t="shared" si="7"/>
        <v>Mar</v>
      </c>
      <c r="T46" t="str">
        <f t="shared" si="8"/>
        <v>Saturday</v>
      </c>
      <c r="U46" t="str">
        <f t="shared" si="9"/>
        <v>Pending</v>
      </c>
    </row>
    <row r="47" spans="1:21" x14ac:dyDescent="0.3">
      <c r="A47" t="s">
        <v>99</v>
      </c>
      <c r="B47" s="1">
        <v>45722</v>
      </c>
      <c r="C47" t="s">
        <v>12</v>
      </c>
      <c r="D47" t="s">
        <v>13</v>
      </c>
      <c r="E47" s="2">
        <v>60</v>
      </c>
      <c r="F47" s="3">
        <v>2</v>
      </c>
      <c r="G47" s="2">
        <v>120</v>
      </c>
      <c r="H47" t="s">
        <v>51</v>
      </c>
      <c r="I47" t="s">
        <v>38</v>
      </c>
      <c r="J47" t="s">
        <v>16</v>
      </c>
      <c r="K47" t="s">
        <v>17</v>
      </c>
      <c r="L47" t="str">
        <f t="shared" si="0"/>
        <v>Running Shoes</v>
      </c>
      <c r="M47" t="str">
        <f t="shared" si="1"/>
        <v>Footwear</v>
      </c>
      <c r="N47" t="str">
        <f t="shared" si="2"/>
        <v>David Lee</v>
      </c>
      <c r="O47" t="str">
        <f t="shared" si="3"/>
        <v>Houston</v>
      </c>
      <c r="P47" t="str">
        <f t="shared" si="4"/>
        <v>Debit Card</v>
      </c>
      <c r="Q47" t="str">
        <f t="shared" si="5"/>
        <v>Cancelled</v>
      </c>
      <c r="R47" t="b">
        <f t="shared" si="6"/>
        <v>1</v>
      </c>
      <c r="S47" t="str">
        <f t="shared" si="7"/>
        <v>Mar</v>
      </c>
      <c r="T47" t="str">
        <f t="shared" si="8"/>
        <v>Thursday</v>
      </c>
      <c r="U47" t="str">
        <f t="shared" si="9"/>
        <v>Cancelled</v>
      </c>
    </row>
    <row r="48" spans="1:21" x14ac:dyDescent="0.3">
      <c r="A48" t="s">
        <v>100</v>
      </c>
      <c r="B48" s="1">
        <v>45742</v>
      </c>
      <c r="C48" t="s">
        <v>35</v>
      </c>
      <c r="D48" t="s">
        <v>36</v>
      </c>
      <c r="E48" s="2">
        <v>20</v>
      </c>
      <c r="F48" s="3">
        <v>2</v>
      </c>
      <c r="G48" s="2">
        <v>40</v>
      </c>
      <c r="H48" t="s">
        <v>72</v>
      </c>
      <c r="I48" t="s">
        <v>44</v>
      </c>
      <c r="J48" t="s">
        <v>58</v>
      </c>
      <c r="K48" t="s">
        <v>17</v>
      </c>
      <c r="L48" t="str">
        <f t="shared" si="0"/>
        <v>T-Shirt</v>
      </c>
      <c r="M48" t="str">
        <f t="shared" si="1"/>
        <v>Clothing</v>
      </c>
      <c r="N48" t="str">
        <f t="shared" si="2"/>
        <v>Chris White</v>
      </c>
      <c r="O48" t="str">
        <f t="shared" si="3"/>
        <v>Miami</v>
      </c>
      <c r="P48" t="str">
        <f t="shared" si="4"/>
        <v>Gift Card</v>
      </c>
      <c r="Q48" t="str">
        <f t="shared" si="5"/>
        <v>Cancelled</v>
      </c>
      <c r="R48" t="b">
        <f t="shared" si="6"/>
        <v>1</v>
      </c>
      <c r="S48" t="str">
        <f t="shared" si="7"/>
        <v>Mar</v>
      </c>
      <c r="T48" t="str">
        <f t="shared" si="8"/>
        <v>Wednesday</v>
      </c>
      <c r="U48" t="str">
        <f t="shared" si="9"/>
        <v>Cancelled</v>
      </c>
    </row>
    <row r="49" spans="1:21" x14ac:dyDescent="0.3">
      <c r="A49" t="s">
        <v>101</v>
      </c>
      <c r="B49" s="1">
        <v>45699</v>
      </c>
      <c r="C49" t="s">
        <v>35</v>
      </c>
      <c r="D49" t="s">
        <v>36</v>
      </c>
      <c r="E49" s="2">
        <v>20</v>
      </c>
      <c r="F49" s="3">
        <v>5</v>
      </c>
      <c r="G49" s="2">
        <v>100</v>
      </c>
      <c r="H49" t="s">
        <v>80</v>
      </c>
      <c r="I49" t="s">
        <v>26</v>
      </c>
      <c r="J49" t="s">
        <v>27</v>
      </c>
      <c r="K49" t="s">
        <v>40</v>
      </c>
      <c r="L49" t="str">
        <f t="shared" si="0"/>
        <v>T-Shirt</v>
      </c>
      <c r="M49" t="str">
        <f t="shared" si="1"/>
        <v>Clothing</v>
      </c>
      <c r="N49" t="str">
        <f t="shared" si="2"/>
        <v>Jane Smith</v>
      </c>
      <c r="O49" t="str">
        <f t="shared" si="3"/>
        <v>Denver</v>
      </c>
      <c r="P49" t="str">
        <f t="shared" si="4"/>
        <v>Amazon Pay</v>
      </c>
      <c r="Q49" t="str">
        <f t="shared" si="5"/>
        <v>Completed</v>
      </c>
      <c r="R49" t="b">
        <f t="shared" si="6"/>
        <v>1</v>
      </c>
      <c r="S49" t="str">
        <f t="shared" si="7"/>
        <v>Feb</v>
      </c>
      <c r="T49" t="str">
        <f t="shared" si="8"/>
        <v>Tuesday</v>
      </c>
      <c r="U49" t="str">
        <f t="shared" si="9"/>
        <v>Completed</v>
      </c>
    </row>
    <row r="50" spans="1:21" x14ac:dyDescent="0.3">
      <c r="A50" t="s">
        <v>102</v>
      </c>
      <c r="B50" s="1">
        <v>45706</v>
      </c>
      <c r="C50" t="s">
        <v>42</v>
      </c>
      <c r="D50" t="s">
        <v>20</v>
      </c>
      <c r="E50" s="2">
        <v>500</v>
      </c>
      <c r="F50" s="3">
        <v>4</v>
      </c>
      <c r="G50" s="2">
        <v>2000</v>
      </c>
      <c r="H50" t="s">
        <v>14</v>
      </c>
      <c r="I50" t="s">
        <v>81</v>
      </c>
      <c r="J50" t="s">
        <v>16</v>
      </c>
      <c r="K50" t="s">
        <v>40</v>
      </c>
      <c r="L50" t="str">
        <f t="shared" si="0"/>
        <v>Smartphone</v>
      </c>
      <c r="M50" t="str">
        <f t="shared" si="1"/>
        <v>Electronics</v>
      </c>
      <c r="N50" t="str">
        <f t="shared" si="2"/>
        <v>Emma Clark</v>
      </c>
      <c r="O50" t="str">
        <f t="shared" si="3"/>
        <v>Chicago</v>
      </c>
      <c r="P50" t="str">
        <f t="shared" si="4"/>
        <v>Debit Card</v>
      </c>
      <c r="Q50" t="str">
        <f t="shared" si="5"/>
        <v>Completed</v>
      </c>
      <c r="R50" t="b">
        <f t="shared" si="6"/>
        <v>1</v>
      </c>
      <c r="S50" t="str">
        <f t="shared" si="7"/>
        <v>Feb</v>
      </c>
      <c r="T50" t="str">
        <f t="shared" si="8"/>
        <v>Tuesday</v>
      </c>
      <c r="U50" t="str">
        <f t="shared" si="9"/>
        <v>Completed</v>
      </c>
    </row>
    <row r="51" spans="1:21" x14ac:dyDescent="0.3">
      <c r="A51" t="s">
        <v>103</v>
      </c>
      <c r="B51" s="1">
        <v>45730</v>
      </c>
      <c r="C51" t="s">
        <v>53</v>
      </c>
      <c r="D51" t="s">
        <v>36</v>
      </c>
      <c r="E51" s="2">
        <v>40</v>
      </c>
      <c r="F51" s="3">
        <v>3</v>
      </c>
      <c r="G51" s="2">
        <v>120</v>
      </c>
      <c r="H51" t="s">
        <v>25</v>
      </c>
      <c r="I51" t="s">
        <v>46</v>
      </c>
      <c r="J51" t="s">
        <v>58</v>
      </c>
      <c r="K51" t="s">
        <v>40</v>
      </c>
      <c r="L51" t="str">
        <f t="shared" si="0"/>
        <v>Jeans</v>
      </c>
      <c r="M51" t="str">
        <f t="shared" si="1"/>
        <v>Clothing</v>
      </c>
      <c r="N51" t="str">
        <f t="shared" si="2"/>
        <v>John Doe</v>
      </c>
      <c r="O51" t="str">
        <f t="shared" si="3"/>
        <v>Boston</v>
      </c>
      <c r="P51" t="str">
        <f t="shared" si="4"/>
        <v>Gift Card</v>
      </c>
      <c r="Q51" t="str">
        <f t="shared" si="5"/>
        <v>Completed</v>
      </c>
      <c r="R51" t="b">
        <f t="shared" si="6"/>
        <v>1</v>
      </c>
      <c r="S51" t="str">
        <f t="shared" si="7"/>
        <v>Mar</v>
      </c>
      <c r="T51" t="str">
        <f t="shared" si="8"/>
        <v>Friday</v>
      </c>
      <c r="U51" t="str">
        <f t="shared" si="9"/>
        <v>Completed</v>
      </c>
    </row>
    <row r="52" spans="1:21" x14ac:dyDescent="0.3">
      <c r="A52" t="s">
        <v>104</v>
      </c>
      <c r="B52" s="1">
        <v>45707</v>
      </c>
      <c r="C52" t="s">
        <v>49</v>
      </c>
      <c r="D52" t="s">
        <v>50</v>
      </c>
      <c r="E52" s="2">
        <v>15</v>
      </c>
      <c r="F52" s="3">
        <v>1</v>
      </c>
      <c r="G52" s="2">
        <v>15</v>
      </c>
      <c r="H52" t="s">
        <v>14</v>
      </c>
      <c r="I52" t="s">
        <v>38</v>
      </c>
      <c r="J52" t="s">
        <v>58</v>
      </c>
      <c r="K52" t="s">
        <v>17</v>
      </c>
      <c r="L52" t="str">
        <f t="shared" si="0"/>
        <v>Book</v>
      </c>
      <c r="M52" t="str">
        <f t="shared" si="1"/>
        <v>Books</v>
      </c>
      <c r="N52" t="str">
        <f t="shared" si="2"/>
        <v>Emma Clark</v>
      </c>
      <c r="O52" t="str">
        <f t="shared" si="3"/>
        <v>Houston</v>
      </c>
      <c r="P52" t="str">
        <f t="shared" si="4"/>
        <v>Gift Card</v>
      </c>
      <c r="Q52" t="str">
        <f t="shared" si="5"/>
        <v>Cancelled</v>
      </c>
      <c r="R52" t="b">
        <f t="shared" si="6"/>
        <v>1</v>
      </c>
      <c r="S52" t="str">
        <f t="shared" si="7"/>
        <v>Feb</v>
      </c>
      <c r="T52" t="str">
        <f t="shared" si="8"/>
        <v>Wednesday</v>
      </c>
      <c r="U52" t="str">
        <f t="shared" si="9"/>
        <v>Cancelled</v>
      </c>
    </row>
    <row r="53" spans="1:21" x14ac:dyDescent="0.3">
      <c r="A53" t="s">
        <v>105</v>
      </c>
      <c r="B53" s="1">
        <v>45712</v>
      </c>
      <c r="C53" t="s">
        <v>56</v>
      </c>
      <c r="D53" t="s">
        <v>20</v>
      </c>
      <c r="E53" s="2">
        <v>800</v>
      </c>
      <c r="F53" s="3">
        <v>3</v>
      </c>
      <c r="G53" s="2">
        <v>2400</v>
      </c>
      <c r="H53" t="s">
        <v>25</v>
      </c>
      <c r="I53" t="s">
        <v>22</v>
      </c>
      <c r="J53" t="s">
        <v>31</v>
      </c>
      <c r="K53" t="s">
        <v>23</v>
      </c>
      <c r="L53" t="str">
        <f t="shared" si="0"/>
        <v>Laptop</v>
      </c>
      <c r="M53" t="str">
        <f t="shared" si="1"/>
        <v>Electronics</v>
      </c>
      <c r="N53" t="str">
        <f t="shared" si="2"/>
        <v>John Doe</v>
      </c>
      <c r="O53" t="str">
        <f t="shared" si="3"/>
        <v>San Francisco</v>
      </c>
      <c r="P53" t="str">
        <f t="shared" si="4"/>
        <v>Credit Card</v>
      </c>
      <c r="Q53" t="str">
        <f t="shared" si="5"/>
        <v>Pending</v>
      </c>
      <c r="R53" t="b">
        <f t="shared" si="6"/>
        <v>1</v>
      </c>
      <c r="S53" t="str">
        <f t="shared" si="7"/>
        <v>Feb</v>
      </c>
      <c r="T53" t="str">
        <f t="shared" si="8"/>
        <v>Monday</v>
      </c>
      <c r="U53" t="str">
        <f t="shared" si="9"/>
        <v>Pending</v>
      </c>
    </row>
    <row r="54" spans="1:21" x14ac:dyDescent="0.3">
      <c r="A54" t="s">
        <v>106</v>
      </c>
      <c r="B54" s="1">
        <v>45740</v>
      </c>
      <c r="C54" t="s">
        <v>12</v>
      </c>
      <c r="D54" t="s">
        <v>13</v>
      </c>
      <c r="E54" s="2">
        <v>60</v>
      </c>
      <c r="F54" s="3">
        <v>4</v>
      </c>
      <c r="G54" s="2">
        <v>240</v>
      </c>
      <c r="H54" t="s">
        <v>21</v>
      </c>
      <c r="I54" t="s">
        <v>68</v>
      </c>
      <c r="J54" t="s">
        <v>39</v>
      </c>
      <c r="K54" t="s">
        <v>40</v>
      </c>
      <c r="L54" t="str">
        <f t="shared" si="0"/>
        <v>Running Shoes</v>
      </c>
      <c r="M54" t="str">
        <f t="shared" si="1"/>
        <v>Footwear</v>
      </c>
      <c r="N54" t="str">
        <f t="shared" si="2"/>
        <v>Emily Johnson</v>
      </c>
      <c r="O54" t="str">
        <f t="shared" si="3"/>
        <v>Los Angeles</v>
      </c>
      <c r="P54" t="str">
        <f t="shared" si="4"/>
        <v>Paypal</v>
      </c>
      <c r="Q54" t="str">
        <f t="shared" si="5"/>
        <v>Completed</v>
      </c>
      <c r="R54" t="b">
        <f t="shared" si="6"/>
        <v>1</v>
      </c>
      <c r="S54" t="str">
        <f t="shared" si="7"/>
        <v>Mar</v>
      </c>
      <c r="T54" t="str">
        <f t="shared" si="8"/>
        <v>Monday</v>
      </c>
      <c r="U54" t="str">
        <f t="shared" si="9"/>
        <v>Completed</v>
      </c>
    </row>
    <row r="55" spans="1:21" x14ac:dyDescent="0.3">
      <c r="A55" t="s">
        <v>107</v>
      </c>
      <c r="B55" s="1">
        <v>45731</v>
      </c>
      <c r="C55" t="s">
        <v>33</v>
      </c>
      <c r="D55" t="s">
        <v>20</v>
      </c>
      <c r="E55" s="2">
        <v>150</v>
      </c>
      <c r="F55" s="3">
        <v>3</v>
      </c>
      <c r="G55" s="2">
        <v>450</v>
      </c>
      <c r="H55" t="s">
        <v>51</v>
      </c>
      <c r="I55" t="s">
        <v>46</v>
      </c>
      <c r="J55" t="s">
        <v>58</v>
      </c>
      <c r="K55" t="s">
        <v>23</v>
      </c>
      <c r="L55" t="str">
        <f t="shared" si="0"/>
        <v>Smartwatch</v>
      </c>
      <c r="M55" t="str">
        <f t="shared" si="1"/>
        <v>Electronics</v>
      </c>
      <c r="N55" t="str">
        <f t="shared" si="2"/>
        <v>David Lee</v>
      </c>
      <c r="O55" t="str">
        <f t="shared" si="3"/>
        <v>Boston</v>
      </c>
      <c r="P55" t="str">
        <f t="shared" si="4"/>
        <v>Gift Card</v>
      </c>
      <c r="Q55" t="str">
        <f t="shared" si="5"/>
        <v>Pending</v>
      </c>
      <c r="R55" t="b">
        <f t="shared" si="6"/>
        <v>1</v>
      </c>
      <c r="S55" t="str">
        <f t="shared" si="7"/>
        <v>Mar</v>
      </c>
      <c r="T55" t="str">
        <f t="shared" si="8"/>
        <v>Saturday</v>
      </c>
      <c r="U55" t="str">
        <f t="shared" si="9"/>
        <v>Pending</v>
      </c>
    </row>
    <row r="56" spans="1:21" x14ac:dyDescent="0.3">
      <c r="A56" t="s">
        <v>108</v>
      </c>
      <c r="B56" s="1">
        <v>45731</v>
      </c>
      <c r="C56" t="s">
        <v>53</v>
      </c>
      <c r="D56" t="s">
        <v>36</v>
      </c>
      <c r="E56" s="2">
        <v>40</v>
      </c>
      <c r="F56" s="3">
        <v>2</v>
      </c>
      <c r="G56" s="2">
        <v>80</v>
      </c>
      <c r="H56" t="s">
        <v>43</v>
      </c>
      <c r="I56" t="s">
        <v>30</v>
      </c>
      <c r="J56" t="s">
        <v>39</v>
      </c>
      <c r="K56" t="s">
        <v>40</v>
      </c>
      <c r="L56" t="str">
        <f t="shared" si="0"/>
        <v>Jeans</v>
      </c>
      <c r="M56" t="str">
        <f t="shared" si="1"/>
        <v>Clothing</v>
      </c>
      <c r="N56" t="str">
        <f t="shared" si="2"/>
        <v>Sophia Miller</v>
      </c>
      <c r="O56" t="str">
        <f t="shared" si="3"/>
        <v>Dallas</v>
      </c>
      <c r="P56" t="str">
        <f t="shared" si="4"/>
        <v>Paypal</v>
      </c>
      <c r="Q56" t="str">
        <f t="shared" si="5"/>
        <v>Completed</v>
      </c>
      <c r="R56" t="b">
        <f t="shared" si="6"/>
        <v>1</v>
      </c>
      <c r="S56" t="str">
        <f t="shared" si="7"/>
        <v>Mar</v>
      </c>
      <c r="T56" t="str">
        <f t="shared" si="8"/>
        <v>Saturday</v>
      </c>
      <c r="U56" t="str">
        <f t="shared" si="9"/>
        <v>Completed</v>
      </c>
    </row>
    <row r="57" spans="1:21" x14ac:dyDescent="0.3">
      <c r="A57" t="s">
        <v>109</v>
      </c>
      <c r="B57" s="1">
        <v>45735</v>
      </c>
      <c r="C57" t="s">
        <v>33</v>
      </c>
      <c r="D57" t="s">
        <v>20</v>
      </c>
      <c r="E57" s="2">
        <v>150</v>
      </c>
      <c r="F57" s="3">
        <v>2</v>
      </c>
      <c r="G57" s="2">
        <v>300</v>
      </c>
      <c r="H57" t="s">
        <v>14</v>
      </c>
      <c r="I57" t="s">
        <v>30</v>
      </c>
      <c r="J57" t="s">
        <v>31</v>
      </c>
      <c r="K57" t="s">
        <v>40</v>
      </c>
      <c r="L57" t="str">
        <f t="shared" si="0"/>
        <v>Smartwatch</v>
      </c>
      <c r="M57" t="str">
        <f t="shared" si="1"/>
        <v>Electronics</v>
      </c>
      <c r="N57" t="str">
        <f t="shared" si="2"/>
        <v>Emma Clark</v>
      </c>
      <c r="O57" t="str">
        <f t="shared" si="3"/>
        <v>Dallas</v>
      </c>
      <c r="P57" t="str">
        <f t="shared" si="4"/>
        <v>Credit Card</v>
      </c>
      <c r="Q57" t="str">
        <f t="shared" si="5"/>
        <v>Completed</v>
      </c>
      <c r="R57" t="b">
        <f t="shared" si="6"/>
        <v>1</v>
      </c>
      <c r="S57" t="str">
        <f t="shared" si="7"/>
        <v>Mar</v>
      </c>
      <c r="T57" t="str">
        <f t="shared" si="8"/>
        <v>Wednesday</v>
      </c>
      <c r="U57" t="str">
        <f t="shared" si="9"/>
        <v>Completed</v>
      </c>
    </row>
    <row r="58" spans="1:21" x14ac:dyDescent="0.3">
      <c r="A58" t="s">
        <v>110</v>
      </c>
      <c r="B58" s="1">
        <v>45731</v>
      </c>
      <c r="C58" t="s">
        <v>42</v>
      </c>
      <c r="D58" t="s">
        <v>20</v>
      </c>
      <c r="E58" s="2">
        <v>500</v>
      </c>
      <c r="F58" s="3">
        <v>1</v>
      </c>
      <c r="G58" s="2">
        <v>500</v>
      </c>
      <c r="H58" t="s">
        <v>80</v>
      </c>
      <c r="I58" t="s">
        <v>68</v>
      </c>
      <c r="J58" t="s">
        <v>16</v>
      </c>
      <c r="K58" t="s">
        <v>17</v>
      </c>
      <c r="L58" t="str">
        <f t="shared" si="0"/>
        <v>Smartphone</v>
      </c>
      <c r="M58" t="str">
        <f t="shared" si="1"/>
        <v>Electronics</v>
      </c>
      <c r="N58" t="str">
        <f t="shared" si="2"/>
        <v>Jane Smith</v>
      </c>
      <c r="O58" t="str">
        <f t="shared" si="3"/>
        <v>Los Angeles</v>
      </c>
      <c r="P58" t="str">
        <f t="shared" si="4"/>
        <v>Debit Card</v>
      </c>
      <c r="Q58" t="str">
        <f t="shared" si="5"/>
        <v>Cancelled</v>
      </c>
      <c r="R58" t="b">
        <f t="shared" si="6"/>
        <v>1</v>
      </c>
      <c r="S58" t="str">
        <f t="shared" si="7"/>
        <v>Mar</v>
      </c>
      <c r="T58" t="str">
        <f t="shared" si="8"/>
        <v>Saturday</v>
      </c>
      <c r="U58" t="str">
        <f t="shared" si="9"/>
        <v>Cancelled</v>
      </c>
    </row>
    <row r="59" spans="1:21" x14ac:dyDescent="0.3">
      <c r="A59" t="s">
        <v>111</v>
      </c>
      <c r="B59" s="1">
        <v>45729</v>
      </c>
      <c r="C59" t="s">
        <v>42</v>
      </c>
      <c r="D59" t="s">
        <v>20</v>
      </c>
      <c r="E59" s="2">
        <v>500</v>
      </c>
      <c r="F59" s="3">
        <v>1</v>
      </c>
      <c r="G59" s="2">
        <v>500</v>
      </c>
      <c r="H59" t="s">
        <v>80</v>
      </c>
      <c r="I59" t="s">
        <v>81</v>
      </c>
      <c r="J59" t="s">
        <v>39</v>
      </c>
      <c r="K59" t="s">
        <v>17</v>
      </c>
      <c r="L59" t="str">
        <f t="shared" si="0"/>
        <v>Smartphone</v>
      </c>
      <c r="M59" t="str">
        <f t="shared" si="1"/>
        <v>Electronics</v>
      </c>
      <c r="N59" t="str">
        <f t="shared" si="2"/>
        <v>Jane Smith</v>
      </c>
      <c r="O59" t="str">
        <f t="shared" si="3"/>
        <v>Chicago</v>
      </c>
      <c r="P59" t="str">
        <f t="shared" si="4"/>
        <v>Paypal</v>
      </c>
      <c r="Q59" t="str">
        <f t="shared" si="5"/>
        <v>Cancelled</v>
      </c>
      <c r="R59" t="b">
        <f t="shared" si="6"/>
        <v>1</v>
      </c>
      <c r="S59" t="str">
        <f t="shared" si="7"/>
        <v>Mar</v>
      </c>
      <c r="T59" t="str">
        <f t="shared" si="8"/>
        <v>Thursday</v>
      </c>
      <c r="U59" t="str">
        <f t="shared" si="9"/>
        <v>Cancelled</v>
      </c>
    </row>
    <row r="60" spans="1:21" x14ac:dyDescent="0.3">
      <c r="A60" t="s">
        <v>112</v>
      </c>
      <c r="B60" s="1">
        <v>45748</v>
      </c>
      <c r="C60" t="s">
        <v>33</v>
      </c>
      <c r="D60" t="s">
        <v>20</v>
      </c>
      <c r="E60" s="2">
        <v>150</v>
      </c>
      <c r="F60" s="3">
        <v>2</v>
      </c>
      <c r="G60" s="2">
        <v>300</v>
      </c>
      <c r="H60" t="s">
        <v>57</v>
      </c>
      <c r="I60" t="s">
        <v>30</v>
      </c>
      <c r="J60" t="s">
        <v>31</v>
      </c>
      <c r="K60" t="s">
        <v>17</v>
      </c>
      <c r="L60" t="str">
        <f t="shared" si="0"/>
        <v>Smartwatch</v>
      </c>
      <c r="M60" t="str">
        <f t="shared" si="1"/>
        <v>Electronics</v>
      </c>
      <c r="N60" t="str">
        <f t="shared" si="2"/>
        <v>Daniel Harris</v>
      </c>
      <c r="O60" t="str">
        <f t="shared" si="3"/>
        <v>Dallas</v>
      </c>
      <c r="P60" t="str">
        <f t="shared" si="4"/>
        <v>Credit Card</v>
      </c>
      <c r="Q60" t="str">
        <f t="shared" si="5"/>
        <v>Cancelled</v>
      </c>
      <c r="R60" t="b">
        <f t="shared" si="6"/>
        <v>1</v>
      </c>
      <c r="S60" t="str">
        <f t="shared" si="7"/>
        <v>Apr</v>
      </c>
      <c r="T60" t="str">
        <f t="shared" si="8"/>
        <v>Tuesday</v>
      </c>
      <c r="U60" t="str">
        <f t="shared" si="9"/>
        <v>Cancelled</v>
      </c>
    </row>
    <row r="61" spans="1:21" x14ac:dyDescent="0.3">
      <c r="A61" t="s">
        <v>113</v>
      </c>
      <c r="B61" s="1">
        <v>45728</v>
      </c>
      <c r="C61" t="s">
        <v>49</v>
      </c>
      <c r="D61" t="s">
        <v>50</v>
      </c>
      <c r="E61" s="2">
        <v>15</v>
      </c>
      <c r="F61" s="3">
        <v>5</v>
      </c>
      <c r="G61" s="2">
        <v>75</v>
      </c>
      <c r="H61" t="s">
        <v>80</v>
      </c>
      <c r="I61" t="s">
        <v>30</v>
      </c>
      <c r="J61" t="s">
        <v>31</v>
      </c>
      <c r="K61" t="s">
        <v>23</v>
      </c>
      <c r="L61" t="str">
        <f t="shared" si="0"/>
        <v>Book</v>
      </c>
      <c r="M61" t="str">
        <f t="shared" si="1"/>
        <v>Books</v>
      </c>
      <c r="N61" t="str">
        <f t="shared" si="2"/>
        <v>Jane Smith</v>
      </c>
      <c r="O61" t="str">
        <f t="shared" si="3"/>
        <v>Dallas</v>
      </c>
      <c r="P61" t="str">
        <f t="shared" si="4"/>
        <v>Credit Card</v>
      </c>
      <c r="Q61" t="str">
        <f t="shared" si="5"/>
        <v>Pending</v>
      </c>
      <c r="R61" t="b">
        <f t="shared" si="6"/>
        <v>1</v>
      </c>
      <c r="S61" t="str">
        <f t="shared" si="7"/>
        <v>Mar</v>
      </c>
      <c r="T61" t="str">
        <f t="shared" si="8"/>
        <v>Wednesday</v>
      </c>
      <c r="U61" t="str">
        <f t="shared" si="9"/>
        <v>Pending</v>
      </c>
    </row>
    <row r="62" spans="1:21" x14ac:dyDescent="0.3">
      <c r="A62" t="s">
        <v>114</v>
      </c>
      <c r="B62" s="1">
        <v>45727</v>
      </c>
      <c r="C62" t="s">
        <v>65</v>
      </c>
      <c r="D62" t="s">
        <v>61</v>
      </c>
      <c r="E62" s="2">
        <v>1200</v>
      </c>
      <c r="F62" s="3">
        <v>1</v>
      </c>
      <c r="G62" s="2">
        <v>1200</v>
      </c>
      <c r="H62" t="s">
        <v>80</v>
      </c>
      <c r="I62" t="s">
        <v>15</v>
      </c>
      <c r="J62" t="s">
        <v>39</v>
      </c>
      <c r="K62" t="s">
        <v>17</v>
      </c>
      <c r="L62" t="str">
        <f t="shared" si="0"/>
        <v>Refrigerator</v>
      </c>
      <c r="M62" t="str">
        <f t="shared" si="1"/>
        <v>Home Appliances</v>
      </c>
      <c r="N62" t="str">
        <f t="shared" si="2"/>
        <v>Jane Smith</v>
      </c>
      <c r="O62" t="str">
        <f t="shared" si="3"/>
        <v>New York</v>
      </c>
      <c r="P62" t="str">
        <f t="shared" si="4"/>
        <v>Paypal</v>
      </c>
      <c r="Q62" t="str">
        <f t="shared" si="5"/>
        <v>Cancelled</v>
      </c>
      <c r="R62" t="b">
        <f t="shared" si="6"/>
        <v>1</v>
      </c>
      <c r="S62" t="str">
        <f t="shared" si="7"/>
        <v>Mar</v>
      </c>
      <c r="T62" t="str">
        <f t="shared" si="8"/>
        <v>Tuesday</v>
      </c>
      <c r="U62" t="str">
        <f t="shared" si="9"/>
        <v>Cancelled</v>
      </c>
    </row>
    <row r="63" spans="1:21" x14ac:dyDescent="0.3">
      <c r="A63" t="s">
        <v>115</v>
      </c>
      <c r="B63" s="1">
        <v>45698</v>
      </c>
      <c r="C63" t="s">
        <v>56</v>
      </c>
      <c r="D63" t="s">
        <v>20</v>
      </c>
      <c r="E63" s="2">
        <v>800</v>
      </c>
      <c r="F63" s="3">
        <v>5</v>
      </c>
      <c r="G63" s="2">
        <v>4000</v>
      </c>
      <c r="H63" t="s">
        <v>29</v>
      </c>
      <c r="I63" t="s">
        <v>22</v>
      </c>
      <c r="J63" t="s">
        <v>39</v>
      </c>
      <c r="K63" t="s">
        <v>40</v>
      </c>
      <c r="L63" t="str">
        <f t="shared" si="0"/>
        <v>Laptop</v>
      </c>
      <c r="M63" t="str">
        <f t="shared" si="1"/>
        <v>Electronics</v>
      </c>
      <c r="N63" t="str">
        <f t="shared" si="2"/>
        <v>Olivia Wilson</v>
      </c>
      <c r="O63" t="str">
        <f t="shared" si="3"/>
        <v>San Francisco</v>
      </c>
      <c r="P63" t="str">
        <f t="shared" si="4"/>
        <v>Paypal</v>
      </c>
      <c r="Q63" t="str">
        <f t="shared" si="5"/>
        <v>Completed</v>
      </c>
      <c r="R63" t="b">
        <f t="shared" si="6"/>
        <v>1</v>
      </c>
      <c r="S63" t="str">
        <f t="shared" si="7"/>
        <v>Feb</v>
      </c>
      <c r="T63" t="str">
        <f t="shared" si="8"/>
        <v>Monday</v>
      </c>
      <c r="U63" t="str">
        <f t="shared" si="9"/>
        <v>Completed</v>
      </c>
    </row>
    <row r="64" spans="1:21" x14ac:dyDescent="0.3">
      <c r="A64" t="s">
        <v>116</v>
      </c>
      <c r="B64" s="1">
        <v>45746</v>
      </c>
      <c r="C64" t="s">
        <v>42</v>
      </c>
      <c r="D64" t="s">
        <v>20</v>
      </c>
      <c r="E64" s="2">
        <v>500</v>
      </c>
      <c r="F64" s="3">
        <v>5</v>
      </c>
      <c r="G64" s="2">
        <v>2500</v>
      </c>
      <c r="H64" t="s">
        <v>14</v>
      </c>
      <c r="I64" t="s">
        <v>44</v>
      </c>
      <c r="J64" t="s">
        <v>58</v>
      </c>
      <c r="K64" t="s">
        <v>40</v>
      </c>
      <c r="L64" t="str">
        <f t="shared" si="0"/>
        <v>Smartphone</v>
      </c>
      <c r="M64" t="str">
        <f t="shared" si="1"/>
        <v>Electronics</v>
      </c>
      <c r="N64" t="str">
        <f t="shared" si="2"/>
        <v>Emma Clark</v>
      </c>
      <c r="O64" t="str">
        <f t="shared" si="3"/>
        <v>Miami</v>
      </c>
      <c r="P64" t="str">
        <f t="shared" si="4"/>
        <v>Gift Card</v>
      </c>
      <c r="Q64" t="str">
        <f t="shared" si="5"/>
        <v>Completed</v>
      </c>
      <c r="R64" t="b">
        <f t="shared" si="6"/>
        <v>1</v>
      </c>
      <c r="S64" t="str">
        <f t="shared" si="7"/>
        <v>Mar</v>
      </c>
      <c r="T64" t="str">
        <f t="shared" si="8"/>
        <v>Sunday</v>
      </c>
      <c r="U64" t="str">
        <f t="shared" si="9"/>
        <v>Completed</v>
      </c>
    </row>
    <row r="65" spans="1:21" x14ac:dyDescent="0.3">
      <c r="A65" t="s">
        <v>117</v>
      </c>
      <c r="B65" s="1">
        <v>45701</v>
      </c>
      <c r="C65" t="s">
        <v>65</v>
      </c>
      <c r="D65" t="s">
        <v>61</v>
      </c>
      <c r="E65" s="2">
        <v>1200</v>
      </c>
      <c r="F65" s="3">
        <v>4</v>
      </c>
      <c r="G65" s="2">
        <v>4800</v>
      </c>
      <c r="H65" t="s">
        <v>21</v>
      </c>
      <c r="I65" t="s">
        <v>26</v>
      </c>
      <c r="J65" t="s">
        <v>39</v>
      </c>
      <c r="K65" t="s">
        <v>23</v>
      </c>
      <c r="L65" t="str">
        <f t="shared" si="0"/>
        <v>Refrigerator</v>
      </c>
      <c r="M65" t="str">
        <f t="shared" si="1"/>
        <v>Home Appliances</v>
      </c>
      <c r="N65" t="str">
        <f t="shared" si="2"/>
        <v>Emily Johnson</v>
      </c>
      <c r="O65" t="str">
        <f t="shared" si="3"/>
        <v>Denver</v>
      </c>
      <c r="P65" t="str">
        <f t="shared" si="4"/>
        <v>Paypal</v>
      </c>
      <c r="Q65" t="str">
        <f t="shared" si="5"/>
        <v>Pending</v>
      </c>
      <c r="R65" t="b">
        <f t="shared" si="6"/>
        <v>1</v>
      </c>
      <c r="S65" t="str">
        <f t="shared" si="7"/>
        <v>Feb</v>
      </c>
      <c r="T65" t="str">
        <f t="shared" si="8"/>
        <v>Thursday</v>
      </c>
      <c r="U65" t="str">
        <f t="shared" si="9"/>
        <v>Pending</v>
      </c>
    </row>
    <row r="66" spans="1:21" x14ac:dyDescent="0.3">
      <c r="A66" t="s">
        <v>118</v>
      </c>
      <c r="B66" s="1">
        <v>45732</v>
      </c>
      <c r="C66" t="s">
        <v>49</v>
      </c>
      <c r="D66" t="s">
        <v>50</v>
      </c>
      <c r="E66" s="2">
        <v>15</v>
      </c>
      <c r="F66" s="3">
        <v>3</v>
      </c>
      <c r="G66" s="2">
        <v>45</v>
      </c>
      <c r="H66" t="s">
        <v>14</v>
      </c>
      <c r="I66" t="s">
        <v>22</v>
      </c>
      <c r="J66" t="s">
        <v>27</v>
      </c>
      <c r="K66" t="s">
        <v>23</v>
      </c>
      <c r="L66" t="str">
        <f t="shared" si="0"/>
        <v>Book</v>
      </c>
      <c r="M66" t="str">
        <f t="shared" si="1"/>
        <v>Books</v>
      </c>
      <c r="N66" t="str">
        <f t="shared" si="2"/>
        <v>Emma Clark</v>
      </c>
      <c r="O66" t="str">
        <f t="shared" si="3"/>
        <v>San Francisco</v>
      </c>
      <c r="P66" t="str">
        <f t="shared" si="4"/>
        <v>Amazon Pay</v>
      </c>
      <c r="Q66" t="str">
        <f t="shared" si="5"/>
        <v>Pending</v>
      </c>
      <c r="R66" t="b">
        <f t="shared" si="6"/>
        <v>1</v>
      </c>
      <c r="S66" t="str">
        <f t="shared" si="7"/>
        <v>Mar</v>
      </c>
      <c r="T66" t="str">
        <f t="shared" si="8"/>
        <v>Sunday</v>
      </c>
      <c r="U66" t="str">
        <f t="shared" si="9"/>
        <v>Pending</v>
      </c>
    </row>
    <row r="67" spans="1:21" x14ac:dyDescent="0.3">
      <c r="A67" t="s">
        <v>119</v>
      </c>
      <c r="B67" s="1">
        <v>45730</v>
      </c>
      <c r="C67" t="s">
        <v>33</v>
      </c>
      <c r="D67" t="s">
        <v>20</v>
      </c>
      <c r="E67" s="2">
        <v>150</v>
      </c>
      <c r="F67" s="3">
        <v>2</v>
      </c>
      <c r="G67" s="2">
        <v>300</v>
      </c>
      <c r="H67" t="s">
        <v>54</v>
      </c>
      <c r="I67" t="s">
        <v>26</v>
      </c>
      <c r="J67" t="s">
        <v>39</v>
      </c>
      <c r="K67" t="s">
        <v>23</v>
      </c>
      <c r="L67" t="str">
        <f t="shared" ref="L67:L130" si="10">PROPER(TRIM(C67))</f>
        <v>Smartwatch</v>
      </c>
      <c r="M67" t="str">
        <f t="shared" ref="M67:M130" si="11">PROPER(TRIM(D67))</f>
        <v>Electronics</v>
      </c>
      <c r="N67" t="str">
        <f t="shared" ref="N67:N130" si="12">PROPER(TRIM(H67))</f>
        <v>Michael Brown</v>
      </c>
      <c r="O67" t="str">
        <f t="shared" ref="O67:O130" si="13">PROPER(TRIM(I67))</f>
        <v>Denver</v>
      </c>
      <c r="P67" t="str">
        <f t="shared" ref="P67:P130" si="14">PROPER(TRIM(J67))</f>
        <v>Paypal</v>
      </c>
      <c r="Q67" t="str">
        <f t="shared" ref="Q67:Q130" si="15">PROPER(TRIM(K67))</f>
        <v>Pending</v>
      </c>
      <c r="R67" t="b">
        <f t="shared" ref="R67:R130" si="16">E67*F67=G67</f>
        <v>1</v>
      </c>
      <c r="S67" t="str">
        <f t="shared" ref="S67:S130" si="17">TEXT(B67,"MMM")</f>
        <v>Mar</v>
      </c>
      <c r="T67" t="str">
        <f t="shared" ref="T67:T130" si="18">TEXT(B67,"dddd")</f>
        <v>Friday</v>
      </c>
      <c r="U67" t="str">
        <f t="shared" ref="U67:U130" si="19">Q67</f>
        <v>Pending</v>
      </c>
    </row>
    <row r="68" spans="1:21" x14ac:dyDescent="0.3">
      <c r="A68" t="s">
        <v>120</v>
      </c>
      <c r="B68" s="1">
        <v>45747</v>
      </c>
      <c r="C68" t="s">
        <v>19</v>
      </c>
      <c r="D68" t="s">
        <v>20</v>
      </c>
      <c r="E68" s="2">
        <v>100</v>
      </c>
      <c r="F68" s="3">
        <v>3</v>
      </c>
      <c r="G68" s="2">
        <v>300</v>
      </c>
      <c r="H68" t="s">
        <v>72</v>
      </c>
      <c r="I68" t="s">
        <v>15</v>
      </c>
      <c r="J68" t="s">
        <v>16</v>
      </c>
      <c r="K68" t="s">
        <v>23</v>
      </c>
      <c r="L68" t="str">
        <f t="shared" si="10"/>
        <v>Headphones</v>
      </c>
      <c r="M68" t="str">
        <f t="shared" si="11"/>
        <v>Electronics</v>
      </c>
      <c r="N68" t="str">
        <f t="shared" si="12"/>
        <v>Chris White</v>
      </c>
      <c r="O68" t="str">
        <f t="shared" si="13"/>
        <v>New York</v>
      </c>
      <c r="P68" t="str">
        <f t="shared" si="14"/>
        <v>Debit Card</v>
      </c>
      <c r="Q68" t="str">
        <f t="shared" si="15"/>
        <v>Pending</v>
      </c>
      <c r="R68" t="b">
        <f t="shared" si="16"/>
        <v>1</v>
      </c>
      <c r="S68" t="str">
        <f t="shared" si="17"/>
        <v>Mar</v>
      </c>
      <c r="T68" t="str">
        <f t="shared" si="18"/>
        <v>Monday</v>
      </c>
      <c r="U68" t="str">
        <f t="shared" si="19"/>
        <v>Pending</v>
      </c>
    </row>
    <row r="69" spans="1:21" x14ac:dyDescent="0.3">
      <c r="A69" t="s">
        <v>121</v>
      </c>
      <c r="B69" s="1">
        <v>45711</v>
      </c>
      <c r="C69" t="s">
        <v>19</v>
      </c>
      <c r="D69" t="s">
        <v>20</v>
      </c>
      <c r="E69" s="2">
        <v>100</v>
      </c>
      <c r="F69" s="3">
        <v>1</v>
      </c>
      <c r="G69" s="2">
        <v>100</v>
      </c>
      <c r="H69" t="s">
        <v>51</v>
      </c>
      <c r="I69" t="s">
        <v>38</v>
      </c>
      <c r="J69" t="s">
        <v>16</v>
      </c>
      <c r="K69" t="s">
        <v>17</v>
      </c>
      <c r="L69" t="str">
        <f t="shared" si="10"/>
        <v>Headphones</v>
      </c>
      <c r="M69" t="str">
        <f t="shared" si="11"/>
        <v>Electronics</v>
      </c>
      <c r="N69" t="str">
        <f t="shared" si="12"/>
        <v>David Lee</v>
      </c>
      <c r="O69" t="str">
        <f t="shared" si="13"/>
        <v>Houston</v>
      </c>
      <c r="P69" t="str">
        <f t="shared" si="14"/>
        <v>Debit Card</v>
      </c>
      <c r="Q69" t="str">
        <f t="shared" si="15"/>
        <v>Cancelled</v>
      </c>
      <c r="R69" t="b">
        <f t="shared" si="16"/>
        <v>1</v>
      </c>
      <c r="S69" t="str">
        <f t="shared" si="17"/>
        <v>Feb</v>
      </c>
      <c r="T69" t="str">
        <f t="shared" si="18"/>
        <v>Sunday</v>
      </c>
      <c r="U69" t="str">
        <f t="shared" si="19"/>
        <v>Cancelled</v>
      </c>
    </row>
    <row r="70" spans="1:21" x14ac:dyDescent="0.3">
      <c r="A70" t="s">
        <v>122</v>
      </c>
      <c r="B70" s="1">
        <v>45713</v>
      </c>
      <c r="C70" t="s">
        <v>65</v>
      </c>
      <c r="D70" t="s">
        <v>61</v>
      </c>
      <c r="E70" s="2">
        <v>1200</v>
      </c>
      <c r="F70" s="3">
        <v>4</v>
      </c>
      <c r="G70" s="2">
        <v>4800</v>
      </c>
      <c r="H70" t="s">
        <v>51</v>
      </c>
      <c r="I70" t="s">
        <v>46</v>
      </c>
      <c r="J70" t="s">
        <v>58</v>
      </c>
      <c r="K70" t="s">
        <v>23</v>
      </c>
      <c r="L70" t="str">
        <f t="shared" si="10"/>
        <v>Refrigerator</v>
      </c>
      <c r="M70" t="str">
        <f t="shared" si="11"/>
        <v>Home Appliances</v>
      </c>
      <c r="N70" t="str">
        <f t="shared" si="12"/>
        <v>David Lee</v>
      </c>
      <c r="O70" t="str">
        <f t="shared" si="13"/>
        <v>Boston</v>
      </c>
      <c r="P70" t="str">
        <f t="shared" si="14"/>
        <v>Gift Card</v>
      </c>
      <c r="Q70" t="str">
        <f t="shared" si="15"/>
        <v>Pending</v>
      </c>
      <c r="R70" t="b">
        <f t="shared" si="16"/>
        <v>1</v>
      </c>
      <c r="S70" t="str">
        <f t="shared" si="17"/>
        <v>Feb</v>
      </c>
      <c r="T70" t="str">
        <f t="shared" si="18"/>
        <v>Tuesday</v>
      </c>
      <c r="U70" t="str">
        <f t="shared" si="19"/>
        <v>Pending</v>
      </c>
    </row>
    <row r="71" spans="1:21" x14ac:dyDescent="0.3">
      <c r="A71" t="s">
        <v>123</v>
      </c>
      <c r="B71" s="1">
        <v>45726</v>
      </c>
      <c r="C71" t="s">
        <v>49</v>
      </c>
      <c r="D71" t="s">
        <v>50</v>
      </c>
      <c r="E71" s="2">
        <v>15</v>
      </c>
      <c r="F71" s="3">
        <v>1</v>
      </c>
      <c r="G71" s="2">
        <v>15</v>
      </c>
      <c r="H71" t="s">
        <v>21</v>
      </c>
      <c r="I71" t="s">
        <v>46</v>
      </c>
      <c r="J71" t="s">
        <v>31</v>
      </c>
      <c r="K71" t="s">
        <v>40</v>
      </c>
      <c r="L71" t="str">
        <f t="shared" si="10"/>
        <v>Book</v>
      </c>
      <c r="M71" t="str">
        <f t="shared" si="11"/>
        <v>Books</v>
      </c>
      <c r="N71" t="str">
        <f t="shared" si="12"/>
        <v>Emily Johnson</v>
      </c>
      <c r="O71" t="str">
        <f t="shared" si="13"/>
        <v>Boston</v>
      </c>
      <c r="P71" t="str">
        <f t="shared" si="14"/>
        <v>Credit Card</v>
      </c>
      <c r="Q71" t="str">
        <f t="shared" si="15"/>
        <v>Completed</v>
      </c>
      <c r="R71" t="b">
        <f t="shared" si="16"/>
        <v>1</v>
      </c>
      <c r="S71" t="str">
        <f t="shared" si="17"/>
        <v>Mar</v>
      </c>
      <c r="T71" t="str">
        <f t="shared" si="18"/>
        <v>Monday</v>
      </c>
      <c r="U71" t="str">
        <f t="shared" si="19"/>
        <v>Completed</v>
      </c>
    </row>
    <row r="72" spans="1:21" x14ac:dyDescent="0.3">
      <c r="A72" t="s">
        <v>124</v>
      </c>
      <c r="B72" s="1">
        <v>45732</v>
      </c>
      <c r="C72" t="s">
        <v>33</v>
      </c>
      <c r="D72" t="s">
        <v>20</v>
      </c>
      <c r="E72" s="2">
        <v>150</v>
      </c>
      <c r="F72" s="3">
        <v>5</v>
      </c>
      <c r="G72" s="2">
        <v>750</v>
      </c>
      <c r="H72" t="s">
        <v>25</v>
      </c>
      <c r="I72" t="s">
        <v>26</v>
      </c>
      <c r="J72" t="s">
        <v>31</v>
      </c>
      <c r="K72" t="s">
        <v>23</v>
      </c>
      <c r="L72" t="str">
        <f t="shared" si="10"/>
        <v>Smartwatch</v>
      </c>
      <c r="M72" t="str">
        <f t="shared" si="11"/>
        <v>Electronics</v>
      </c>
      <c r="N72" t="str">
        <f t="shared" si="12"/>
        <v>John Doe</v>
      </c>
      <c r="O72" t="str">
        <f t="shared" si="13"/>
        <v>Denver</v>
      </c>
      <c r="P72" t="str">
        <f t="shared" si="14"/>
        <v>Credit Card</v>
      </c>
      <c r="Q72" t="str">
        <f t="shared" si="15"/>
        <v>Pending</v>
      </c>
      <c r="R72" t="b">
        <f t="shared" si="16"/>
        <v>1</v>
      </c>
      <c r="S72" t="str">
        <f t="shared" si="17"/>
        <v>Mar</v>
      </c>
      <c r="T72" t="str">
        <f t="shared" si="18"/>
        <v>Sunday</v>
      </c>
      <c r="U72" t="str">
        <f t="shared" si="19"/>
        <v>Pending</v>
      </c>
    </row>
    <row r="73" spans="1:21" x14ac:dyDescent="0.3">
      <c r="A73" t="s">
        <v>125</v>
      </c>
      <c r="B73" s="1">
        <v>45723</v>
      </c>
      <c r="C73" t="s">
        <v>56</v>
      </c>
      <c r="D73" t="s">
        <v>20</v>
      </c>
      <c r="E73" s="2">
        <v>800</v>
      </c>
      <c r="F73" s="3">
        <v>3</v>
      </c>
      <c r="G73" s="2">
        <v>2400</v>
      </c>
      <c r="H73" t="s">
        <v>57</v>
      </c>
      <c r="I73" t="s">
        <v>38</v>
      </c>
      <c r="J73" t="s">
        <v>31</v>
      </c>
      <c r="K73" t="s">
        <v>23</v>
      </c>
      <c r="L73" t="str">
        <f t="shared" si="10"/>
        <v>Laptop</v>
      </c>
      <c r="M73" t="str">
        <f t="shared" si="11"/>
        <v>Electronics</v>
      </c>
      <c r="N73" t="str">
        <f t="shared" si="12"/>
        <v>Daniel Harris</v>
      </c>
      <c r="O73" t="str">
        <f t="shared" si="13"/>
        <v>Houston</v>
      </c>
      <c r="P73" t="str">
        <f t="shared" si="14"/>
        <v>Credit Card</v>
      </c>
      <c r="Q73" t="str">
        <f t="shared" si="15"/>
        <v>Pending</v>
      </c>
      <c r="R73" t="b">
        <f t="shared" si="16"/>
        <v>1</v>
      </c>
      <c r="S73" t="str">
        <f t="shared" si="17"/>
        <v>Mar</v>
      </c>
      <c r="T73" t="str">
        <f t="shared" si="18"/>
        <v>Friday</v>
      </c>
      <c r="U73" t="str">
        <f t="shared" si="19"/>
        <v>Pending</v>
      </c>
    </row>
    <row r="74" spans="1:21" x14ac:dyDescent="0.3">
      <c r="A74" t="s">
        <v>126</v>
      </c>
      <c r="B74" s="1">
        <v>45708</v>
      </c>
      <c r="C74" t="s">
        <v>42</v>
      </c>
      <c r="D74" t="s">
        <v>20</v>
      </c>
      <c r="E74" s="2">
        <v>500</v>
      </c>
      <c r="F74" s="3">
        <v>5</v>
      </c>
      <c r="G74" s="2">
        <v>2500</v>
      </c>
      <c r="H74" t="s">
        <v>21</v>
      </c>
      <c r="I74" t="s">
        <v>44</v>
      </c>
      <c r="J74" t="s">
        <v>31</v>
      </c>
      <c r="K74" t="s">
        <v>17</v>
      </c>
      <c r="L74" t="str">
        <f t="shared" si="10"/>
        <v>Smartphone</v>
      </c>
      <c r="M74" t="str">
        <f t="shared" si="11"/>
        <v>Electronics</v>
      </c>
      <c r="N74" t="str">
        <f t="shared" si="12"/>
        <v>Emily Johnson</v>
      </c>
      <c r="O74" t="str">
        <f t="shared" si="13"/>
        <v>Miami</v>
      </c>
      <c r="P74" t="str">
        <f t="shared" si="14"/>
        <v>Credit Card</v>
      </c>
      <c r="Q74" t="str">
        <f t="shared" si="15"/>
        <v>Cancelled</v>
      </c>
      <c r="R74" t="b">
        <f t="shared" si="16"/>
        <v>1</v>
      </c>
      <c r="S74" t="str">
        <f t="shared" si="17"/>
        <v>Feb</v>
      </c>
      <c r="T74" t="str">
        <f t="shared" si="18"/>
        <v>Thursday</v>
      </c>
      <c r="U74" t="str">
        <f t="shared" si="19"/>
        <v>Cancelled</v>
      </c>
    </row>
    <row r="75" spans="1:21" x14ac:dyDescent="0.3">
      <c r="A75" t="s">
        <v>127</v>
      </c>
      <c r="B75" s="1">
        <v>45741</v>
      </c>
      <c r="C75" t="s">
        <v>65</v>
      </c>
      <c r="D75" t="s">
        <v>61</v>
      </c>
      <c r="E75" s="2">
        <v>1200</v>
      </c>
      <c r="F75" s="3">
        <v>4</v>
      </c>
      <c r="G75" s="2">
        <v>4800</v>
      </c>
      <c r="H75" t="s">
        <v>80</v>
      </c>
      <c r="I75" t="s">
        <v>30</v>
      </c>
      <c r="J75" t="s">
        <v>58</v>
      </c>
      <c r="K75" t="s">
        <v>17</v>
      </c>
      <c r="L75" t="str">
        <f t="shared" si="10"/>
        <v>Refrigerator</v>
      </c>
      <c r="M75" t="str">
        <f t="shared" si="11"/>
        <v>Home Appliances</v>
      </c>
      <c r="N75" t="str">
        <f t="shared" si="12"/>
        <v>Jane Smith</v>
      </c>
      <c r="O75" t="str">
        <f t="shared" si="13"/>
        <v>Dallas</v>
      </c>
      <c r="P75" t="str">
        <f t="shared" si="14"/>
        <v>Gift Card</v>
      </c>
      <c r="Q75" t="str">
        <f t="shared" si="15"/>
        <v>Cancelled</v>
      </c>
      <c r="R75" t="b">
        <f t="shared" si="16"/>
        <v>1</v>
      </c>
      <c r="S75" t="str">
        <f t="shared" si="17"/>
        <v>Mar</v>
      </c>
      <c r="T75" t="str">
        <f t="shared" si="18"/>
        <v>Tuesday</v>
      </c>
      <c r="U75" t="str">
        <f t="shared" si="19"/>
        <v>Cancelled</v>
      </c>
    </row>
    <row r="76" spans="1:21" x14ac:dyDescent="0.3">
      <c r="A76" t="s">
        <v>128</v>
      </c>
      <c r="B76" s="1">
        <v>45714</v>
      </c>
      <c r="C76" t="s">
        <v>19</v>
      </c>
      <c r="D76" t="s">
        <v>20</v>
      </c>
      <c r="E76" s="2">
        <v>100</v>
      </c>
      <c r="F76" s="3">
        <v>2</v>
      </c>
      <c r="G76" s="2">
        <v>200</v>
      </c>
      <c r="H76" t="s">
        <v>57</v>
      </c>
      <c r="I76" t="s">
        <v>46</v>
      </c>
      <c r="J76" t="s">
        <v>39</v>
      </c>
      <c r="K76" t="s">
        <v>23</v>
      </c>
      <c r="L76" t="str">
        <f t="shared" si="10"/>
        <v>Headphones</v>
      </c>
      <c r="M76" t="str">
        <f t="shared" si="11"/>
        <v>Electronics</v>
      </c>
      <c r="N76" t="str">
        <f t="shared" si="12"/>
        <v>Daniel Harris</v>
      </c>
      <c r="O76" t="str">
        <f t="shared" si="13"/>
        <v>Boston</v>
      </c>
      <c r="P76" t="str">
        <f t="shared" si="14"/>
        <v>Paypal</v>
      </c>
      <c r="Q76" t="str">
        <f t="shared" si="15"/>
        <v>Pending</v>
      </c>
      <c r="R76" t="b">
        <f t="shared" si="16"/>
        <v>1</v>
      </c>
      <c r="S76" t="str">
        <f t="shared" si="17"/>
        <v>Feb</v>
      </c>
      <c r="T76" t="str">
        <f t="shared" si="18"/>
        <v>Wednesday</v>
      </c>
      <c r="U76" t="str">
        <f t="shared" si="19"/>
        <v>Pending</v>
      </c>
    </row>
    <row r="77" spans="1:21" x14ac:dyDescent="0.3">
      <c r="A77" t="s">
        <v>129</v>
      </c>
      <c r="B77" s="1">
        <v>45712</v>
      </c>
      <c r="C77" t="s">
        <v>60</v>
      </c>
      <c r="D77" t="s">
        <v>61</v>
      </c>
      <c r="E77" s="2">
        <v>600</v>
      </c>
      <c r="F77" s="3">
        <v>1</v>
      </c>
      <c r="G77" s="2">
        <v>600</v>
      </c>
      <c r="H77" t="s">
        <v>80</v>
      </c>
      <c r="I77" t="s">
        <v>30</v>
      </c>
      <c r="J77" t="s">
        <v>27</v>
      </c>
      <c r="K77" t="s">
        <v>40</v>
      </c>
      <c r="L77" t="str">
        <f t="shared" si="10"/>
        <v>Washing Machine</v>
      </c>
      <c r="M77" t="str">
        <f t="shared" si="11"/>
        <v>Home Appliances</v>
      </c>
      <c r="N77" t="str">
        <f t="shared" si="12"/>
        <v>Jane Smith</v>
      </c>
      <c r="O77" t="str">
        <f t="shared" si="13"/>
        <v>Dallas</v>
      </c>
      <c r="P77" t="str">
        <f t="shared" si="14"/>
        <v>Amazon Pay</v>
      </c>
      <c r="Q77" t="str">
        <f t="shared" si="15"/>
        <v>Completed</v>
      </c>
      <c r="R77" t="b">
        <f t="shared" si="16"/>
        <v>1</v>
      </c>
      <c r="S77" t="str">
        <f t="shared" si="17"/>
        <v>Feb</v>
      </c>
      <c r="T77" t="str">
        <f t="shared" si="18"/>
        <v>Monday</v>
      </c>
      <c r="U77" t="str">
        <f t="shared" si="19"/>
        <v>Completed</v>
      </c>
    </row>
    <row r="78" spans="1:21" x14ac:dyDescent="0.3">
      <c r="A78" t="s">
        <v>130</v>
      </c>
      <c r="B78" s="1">
        <v>45736</v>
      </c>
      <c r="C78" t="s">
        <v>19</v>
      </c>
      <c r="D78" t="s">
        <v>20</v>
      </c>
      <c r="E78" s="2">
        <v>100</v>
      </c>
      <c r="F78" s="3">
        <v>2</v>
      </c>
      <c r="G78" s="2">
        <v>200</v>
      </c>
      <c r="H78" t="s">
        <v>57</v>
      </c>
      <c r="I78" t="s">
        <v>38</v>
      </c>
      <c r="J78" t="s">
        <v>31</v>
      </c>
      <c r="K78" t="s">
        <v>40</v>
      </c>
      <c r="L78" t="str">
        <f t="shared" si="10"/>
        <v>Headphones</v>
      </c>
      <c r="M78" t="str">
        <f t="shared" si="11"/>
        <v>Electronics</v>
      </c>
      <c r="N78" t="str">
        <f t="shared" si="12"/>
        <v>Daniel Harris</v>
      </c>
      <c r="O78" t="str">
        <f t="shared" si="13"/>
        <v>Houston</v>
      </c>
      <c r="P78" t="str">
        <f t="shared" si="14"/>
        <v>Credit Card</v>
      </c>
      <c r="Q78" t="str">
        <f t="shared" si="15"/>
        <v>Completed</v>
      </c>
      <c r="R78" t="b">
        <f t="shared" si="16"/>
        <v>1</v>
      </c>
      <c r="S78" t="str">
        <f t="shared" si="17"/>
        <v>Mar</v>
      </c>
      <c r="T78" t="str">
        <f t="shared" si="18"/>
        <v>Thursday</v>
      </c>
      <c r="U78" t="str">
        <f t="shared" si="19"/>
        <v>Completed</v>
      </c>
    </row>
    <row r="79" spans="1:21" x14ac:dyDescent="0.3">
      <c r="A79" t="s">
        <v>131</v>
      </c>
      <c r="B79" s="1">
        <v>45734</v>
      </c>
      <c r="C79" t="s">
        <v>33</v>
      </c>
      <c r="D79" t="s">
        <v>20</v>
      </c>
      <c r="E79" s="2">
        <v>150</v>
      </c>
      <c r="F79" s="3">
        <v>2</v>
      </c>
      <c r="G79" s="2">
        <v>300</v>
      </c>
      <c r="H79" t="s">
        <v>14</v>
      </c>
      <c r="I79" t="s">
        <v>68</v>
      </c>
      <c r="J79" t="s">
        <v>58</v>
      </c>
      <c r="K79" t="s">
        <v>17</v>
      </c>
      <c r="L79" t="str">
        <f t="shared" si="10"/>
        <v>Smartwatch</v>
      </c>
      <c r="M79" t="str">
        <f t="shared" si="11"/>
        <v>Electronics</v>
      </c>
      <c r="N79" t="str">
        <f t="shared" si="12"/>
        <v>Emma Clark</v>
      </c>
      <c r="O79" t="str">
        <f t="shared" si="13"/>
        <v>Los Angeles</v>
      </c>
      <c r="P79" t="str">
        <f t="shared" si="14"/>
        <v>Gift Card</v>
      </c>
      <c r="Q79" t="str">
        <f t="shared" si="15"/>
        <v>Cancelled</v>
      </c>
      <c r="R79" t="b">
        <f t="shared" si="16"/>
        <v>1</v>
      </c>
      <c r="S79" t="str">
        <f t="shared" si="17"/>
        <v>Mar</v>
      </c>
      <c r="T79" t="str">
        <f t="shared" si="18"/>
        <v>Tuesday</v>
      </c>
      <c r="U79" t="str">
        <f t="shared" si="19"/>
        <v>Cancelled</v>
      </c>
    </row>
    <row r="80" spans="1:21" x14ac:dyDescent="0.3">
      <c r="A80" t="s">
        <v>132</v>
      </c>
      <c r="B80" s="1">
        <v>45725</v>
      </c>
      <c r="C80" t="s">
        <v>12</v>
      </c>
      <c r="D80" t="s">
        <v>13</v>
      </c>
      <c r="E80" s="2">
        <v>60</v>
      </c>
      <c r="F80" s="3">
        <v>2</v>
      </c>
      <c r="G80" s="2">
        <v>120</v>
      </c>
      <c r="H80" t="s">
        <v>21</v>
      </c>
      <c r="I80" t="s">
        <v>26</v>
      </c>
      <c r="J80" t="s">
        <v>58</v>
      </c>
      <c r="K80" t="s">
        <v>17</v>
      </c>
      <c r="L80" t="str">
        <f t="shared" si="10"/>
        <v>Running Shoes</v>
      </c>
      <c r="M80" t="str">
        <f t="shared" si="11"/>
        <v>Footwear</v>
      </c>
      <c r="N80" t="str">
        <f t="shared" si="12"/>
        <v>Emily Johnson</v>
      </c>
      <c r="O80" t="str">
        <f t="shared" si="13"/>
        <v>Denver</v>
      </c>
      <c r="P80" t="str">
        <f t="shared" si="14"/>
        <v>Gift Card</v>
      </c>
      <c r="Q80" t="str">
        <f t="shared" si="15"/>
        <v>Cancelled</v>
      </c>
      <c r="R80" t="b">
        <f t="shared" si="16"/>
        <v>1</v>
      </c>
      <c r="S80" t="str">
        <f t="shared" si="17"/>
        <v>Mar</v>
      </c>
      <c r="T80" t="str">
        <f t="shared" si="18"/>
        <v>Sunday</v>
      </c>
      <c r="U80" t="str">
        <f t="shared" si="19"/>
        <v>Cancelled</v>
      </c>
    </row>
    <row r="81" spans="1:21" x14ac:dyDescent="0.3">
      <c r="A81" t="s">
        <v>133</v>
      </c>
      <c r="B81" s="1">
        <v>45711</v>
      </c>
      <c r="C81" t="s">
        <v>12</v>
      </c>
      <c r="D81" t="s">
        <v>13</v>
      </c>
      <c r="E81" s="2">
        <v>60</v>
      </c>
      <c r="F81" s="3">
        <v>4</v>
      </c>
      <c r="G81" s="2">
        <v>240</v>
      </c>
      <c r="H81" t="s">
        <v>43</v>
      </c>
      <c r="I81" t="s">
        <v>22</v>
      </c>
      <c r="J81" t="s">
        <v>16</v>
      </c>
      <c r="K81" t="s">
        <v>23</v>
      </c>
      <c r="L81" t="str">
        <f t="shared" si="10"/>
        <v>Running Shoes</v>
      </c>
      <c r="M81" t="str">
        <f t="shared" si="11"/>
        <v>Footwear</v>
      </c>
      <c r="N81" t="str">
        <f t="shared" si="12"/>
        <v>Sophia Miller</v>
      </c>
      <c r="O81" t="str">
        <f t="shared" si="13"/>
        <v>San Francisco</v>
      </c>
      <c r="P81" t="str">
        <f t="shared" si="14"/>
        <v>Debit Card</v>
      </c>
      <c r="Q81" t="str">
        <f t="shared" si="15"/>
        <v>Pending</v>
      </c>
      <c r="R81" t="b">
        <f t="shared" si="16"/>
        <v>1</v>
      </c>
      <c r="S81" t="str">
        <f t="shared" si="17"/>
        <v>Feb</v>
      </c>
      <c r="T81" t="str">
        <f t="shared" si="18"/>
        <v>Sunday</v>
      </c>
      <c r="U81" t="str">
        <f t="shared" si="19"/>
        <v>Pending</v>
      </c>
    </row>
    <row r="82" spans="1:21" x14ac:dyDescent="0.3">
      <c r="A82" t="s">
        <v>134</v>
      </c>
      <c r="B82" s="1">
        <v>45714</v>
      </c>
      <c r="C82" t="s">
        <v>19</v>
      </c>
      <c r="D82" t="s">
        <v>20</v>
      </c>
      <c r="E82" s="2">
        <v>100</v>
      </c>
      <c r="F82" s="3">
        <v>3</v>
      </c>
      <c r="G82" s="2">
        <v>300</v>
      </c>
      <c r="H82" t="s">
        <v>54</v>
      </c>
      <c r="I82" t="s">
        <v>81</v>
      </c>
      <c r="J82" t="s">
        <v>39</v>
      </c>
      <c r="K82" t="s">
        <v>17</v>
      </c>
      <c r="L82" t="str">
        <f t="shared" si="10"/>
        <v>Headphones</v>
      </c>
      <c r="M82" t="str">
        <f t="shared" si="11"/>
        <v>Electronics</v>
      </c>
      <c r="N82" t="str">
        <f t="shared" si="12"/>
        <v>Michael Brown</v>
      </c>
      <c r="O82" t="str">
        <f t="shared" si="13"/>
        <v>Chicago</v>
      </c>
      <c r="P82" t="str">
        <f t="shared" si="14"/>
        <v>Paypal</v>
      </c>
      <c r="Q82" t="str">
        <f t="shared" si="15"/>
        <v>Cancelled</v>
      </c>
      <c r="R82" t="b">
        <f t="shared" si="16"/>
        <v>1</v>
      </c>
      <c r="S82" t="str">
        <f t="shared" si="17"/>
        <v>Feb</v>
      </c>
      <c r="T82" t="str">
        <f t="shared" si="18"/>
        <v>Wednesday</v>
      </c>
      <c r="U82" t="str">
        <f t="shared" si="19"/>
        <v>Cancelled</v>
      </c>
    </row>
    <row r="83" spans="1:21" x14ac:dyDescent="0.3">
      <c r="A83" t="s">
        <v>135</v>
      </c>
      <c r="B83" s="1">
        <v>45712</v>
      </c>
      <c r="C83" t="s">
        <v>42</v>
      </c>
      <c r="D83" t="s">
        <v>20</v>
      </c>
      <c r="E83" s="2">
        <v>500</v>
      </c>
      <c r="F83" s="3">
        <v>3</v>
      </c>
      <c r="G83" s="2">
        <v>1500</v>
      </c>
      <c r="H83" t="s">
        <v>80</v>
      </c>
      <c r="I83" t="s">
        <v>63</v>
      </c>
      <c r="J83" t="s">
        <v>16</v>
      </c>
      <c r="K83" t="s">
        <v>17</v>
      </c>
      <c r="L83" t="str">
        <f t="shared" si="10"/>
        <v>Smartphone</v>
      </c>
      <c r="M83" t="str">
        <f t="shared" si="11"/>
        <v>Electronics</v>
      </c>
      <c r="N83" t="str">
        <f t="shared" si="12"/>
        <v>Jane Smith</v>
      </c>
      <c r="O83" t="str">
        <f t="shared" si="13"/>
        <v>Seattle</v>
      </c>
      <c r="P83" t="str">
        <f t="shared" si="14"/>
        <v>Debit Card</v>
      </c>
      <c r="Q83" t="str">
        <f t="shared" si="15"/>
        <v>Cancelled</v>
      </c>
      <c r="R83" t="b">
        <f t="shared" si="16"/>
        <v>1</v>
      </c>
      <c r="S83" t="str">
        <f t="shared" si="17"/>
        <v>Feb</v>
      </c>
      <c r="T83" t="str">
        <f t="shared" si="18"/>
        <v>Monday</v>
      </c>
      <c r="U83" t="str">
        <f t="shared" si="19"/>
        <v>Cancelled</v>
      </c>
    </row>
    <row r="84" spans="1:21" x14ac:dyDescent="0.3">
      <c r="A84" t="s">
        <v>136</v>
      </c>
      <c r="B84" s="1">
        <v>45716</v>
      </c>
      <c r="C84" t="s">
        <v>60</v>
      </c>
      <c r="D84" t="s">
        <v>61</v>
      </c>
      <c r="E84" s="2">
        <v>600</v>
      </c>
      <c r="F84" s="3">
        <v>4</v>
      </c>
      <c r="G84" s="2">
        <v>2400</v>
      </c>
      <c r="H84" t="s">
        <v>14</v>
      </c>
      <c r="I84" t="s">
        <v>38</v>
      </c>
      <c r="J84" t="s">
        <v>58</v>
      </c>
      <c r="K84" t="s">
        <v>17</v>
      </c>
      <c r="L84" t="str">
        <f t="shared" si="10"/>
        <v>Washing Machine</v>
      </c>
      <c r="M84" t="str">
        <f t="shared" si="11"/>
        <v>Home Appliances</v>
      </c>
      <c r="N84" t="str">
        <f t="shared" si="12"/>
        <v>Emma Clark</v>
      </c>
      <c r="O84" t="str">
        <f t="shared" si="13"/>
        <v>Houston</v>
      </c>
      <c r="P84" t="str">
        <f t="shared" si="14"/>
        <v>Gift Card</v>
      </c>
      <c r="Q84" t="str">
        <f t="shared" si="15"/>
        <v>Cancelled</v>
      </c>
      <c r="R84" t="b">
        <f t="shared" si="16"/>
        <v>1</v>
      </c>
      <c r="S84" t="str">
        <f t="shared" si="17"/>
        <v>Feb</v>
      </c>
      <c r="T84" t="str">
        <f t="shared" si="18"/>
        <v>Friday</v>
      </c>
      <c r="U84" t="str">
        <f t="shared" si="19"/>
        <v>Cancelled</v>
      </c>
    </row>
    <row r="85" spans="1:21" x14ac:dyDescent="0.3">
      <c r="A85" t="s">
        <v>137</v>
      </c>
      <c r="B85" s="1">
        <v>45702</v>
      </c>
      <c r="C85" t="s">
        <v>35</v>
      </c>
      <c r="D85" t="s">
        <v>36</v>
      </c>
      <c r="E85" s="2">
        <v>20</v>
      </c>
      <c r="F85" s="3">
        <v>5</v>
      </c>
      <c r="G85" s="2">
        <v>100</v>
      </c>
      <c r="H85" t="s">
        <v>29</v>
      </c>
      <c r="I85" t="s">
        <v>46</v>
      </c>
      <c r="J85" t="s">
        <v>39</v>
      </c>
      <c r="K85" t="s">
        <v>40</v>
      </c>
      <c r="L85" t="str">
        <f t="shared" si="10"/>
        <v>T-Shirt</v>
      </c>
      <c r="M85" t="str">
        <f t="shared" si="11"/>
        <v>Clothing</v>
      </c>
      <c r="N85" t="str">
        <f t="shared" si="12"/>
        <v>Olivia Wilson</v>
      </c>
      <c r="O85" t="str">
        <f t="shared" si="13"/>
        <v>Boston</v>
      </c>
      <c r="P85" t="str">
        <f t="shared" si="14"/>
        <v>Paypal</v>
      </c>
      <c r="Q85" t="str">
        <f t="shared" si="15"/>
        <v>Completed</v>
      </c>
      <c r="R85" t="b">
        <f t="shared" si="16"/>
        <v>1</v>
      </c>
      <c r="S85" t="str">
        <f t="shared" si="17"/>
        <v>Feb</v>
      </c>
      <c r="T85" t="str">
        <f t="shared" si="18"/>
        <v>Friday</v>
      </c>
      <c r="U85" t="str">
        <f t="shared" si="19"/>
        <v>Completed</v>
      </c>
    </row>
    <row r="86" spans="1:21" x14ac:dyDescent="0.3">
      <c r="A86" t="s">
        <v>138</v>
      </c>
      <c r="B86" s="1">
        <v>45694</v>
      </c>
      <c r="C86" t="s">
        <v>42</v>
      </c>
      <c r="D86" t="s">
        <v>20</v>
      </c>
      <c r="E86" s="2">
        <v>500</v>
      </c>
      <c r="F86" s="3">
        <v>5</v>
      </c>
      <c r="G86" s="2">
        <v>2500</v>
      </c>
      <c r="H86" t="s">
        <v>54</v>
      </c>
      <c r="I86" t="s">
        <v>38</v>
      </c>
      <c r="J86" t="s">
        <v>39</v>
      </c>
      <c r="K86" t="s">
        <v>40</v>
      </c>
      <c r="L86" t="str">
        <f t="shared" si="10"/>
        <v>Smartphone</v>
      </c>
      <c r="M86" t="str">
        <f t="shared" si="11"/>
        <v>Electronics</v>
      </c>
      <c r="N86" t="str">
        <f t="shared" si="12"/>
        <v>Michael Brown</v>
      </c>
      <c r="O86" t="str">
        <f t="shared" si="13"/>
        <v>Houston</v>
      </c>
      <c r="P86" t="str">
        <f t="shared" si="14"/>
        <v>Paypal</v>
      </c>
      <c r="Q86" t="str">
        <f t="shared" si="15"/>
        <v>Completed</v>
      </c>
      <c r="R86" t="b">
        <f t="shared" si="16"/>
        <v>1</v>
      </c>
      <c r="S86" t="str">
        <f t="shared" si="17"/>
        <v>Feb</v>
      </c>
      <c r="T86" t="str">
        <f t="shared" si="18"/>
        <v>Thursday</v>
      </c>
      <c r="U86" t="str">
        <f t="shared" si="19"/>
        <v>Completed</v>
      </c>
    </row>
    <row r="87" spans="1:21" x14ac:dyDescent="0.3">
      <c r="A87" t="s">
        <v>139</v>
      </c>
      <c r="B87" s="1">
        <v>45713</v>
      </c>
      <c r="C87" t="s">
        <v>33</v>
      </c>
      <c r="D87" t="s">
        <v>20</v>
      </c>
      <c r="E87" s="2">
        <v>150</v>
      </c>
      <c r="F87" s="3">
        <v>5</v>
      </c>
      <c r="G87" s="2">
        <v>750</v>
      </c>
      <c r="H87" t="s">
        <v>80</v>
      </c>
      <c r="I87" t="s">
        <v>30</v>
      </c>
      <c r="J87" t="s">
        <v>39</v>
      </c>
      <c r="K87" t="s">
        <v>17</v>
      </c>
      <c r="L87" t="str">
        <f t="shared" si="10"/>
        <v>Smartwatch</v>
      </c>
      <c r="M87" t="str">
        <f t="shared" si="11"/>
        <v>Electronics</v>
      </c>
      <c r="N87" t="str">
        <f t="shared" si="12"/>
        <v>Jane Smith</v>
      </c>
      <c r="O87" t="str">
        <f t="shared" si="13"/>
        <v>Dallas</v>
      </c>
      <c r="P87" t="str">
        <f t="shared" si="14"/>
        <v>Paypal</v>
      </c>
      <c r="Q87" t="str">
        <f t="shared" si="15"/>
        <v>Cancelled</v>
      </c>
      <c r="R87" t="b">
        <f t="shared" si="16"/>
        <v>1</v>
      </c>
      <c r="S87" t="str">
        <f t="shared" si="17"/>
        <v>Feb</v>
      </c>
      <c r="T87" t="str">
        <f t="shared" si="18"/>
        <v>Tuesday</v>
      </c>
      <c r="U87" t="str">
        <f t="shared" si="19"/>
        <v>Cancelled</v>
      </c>
    </row>
    <row r="88" spans="1:21" x14ac:dyDescent="0.3">
      <c r="A88" t="s">
        <v>140</v>
      </c>
      <c r="B88" s="1">
        <v>45729</v>
      </c>
      <c r="C88" t="s">
        <v>12</v>
      </c>
      <c r="D88" t="s">
        <v>13</v>
      </c>
      <c r="E88" s="2">
        <v>60</v>
      </c>
      <c r="F88" s="3">
        <v>5</v>
      </c>
      <c r="G88" s="2">
        <v>300</v>
      </c>
      <c r="H88" t="s">
        <v>14</v>
      </c>
      <c r="I88" t="s">
        <v>44</v>
      </c>
      <c r="J88" t="s">
        <v>16</v>
      </c>
      <c r="K88" t="s">
        <v>40</v>
      </c>
      <c r="L88" t="str">
        <f t="shared" si="10"/>
        <v>Running Shoes</v>
      </c>
      <c r="M88" t="str">
        <f t="shared" si="11"/>
        <v>Footwear</v>
      </c>
      <c r="N88" t="str">
        <f t="shared" si="12"/>
        <v>Emma Clark</v>
      </c>
      <c r="O88" t="str">
        <f t="shared" si="13"/>
        <v>Miami</v>
      </c>
      <c r="P88" t="str">
        <f t="shared" si="14"/>
        <v>Debit Card</v>
      </c>
      <c r="Q88" t="str">
        <f t="shared" si="15"/>
        <v>Completed</v>
      </c>
      <c r="R88" t="b">
        <f t="shared" si="16"/>
        <v>1</v>
      </c>
      <c r="S88" t="str">
        <f t="shared" si="17"/>
        <v>Mar</v>
      </c>
      <c r="T88" t="str">
        <f t="shared" si="18"/>
        <v>Thursday</v>
      </c>
      <c r="U88" t="str">
        <f t="shared" si="19"/>
        <v>Completed</v>
      </c>
    </row>
    <row r="89" spans="1:21" x14ac:dyDescent="0.3">
      <c r="A89" t="s">
        <v>141</v>
      </c>
      <c r="B89" s="1">
        <v>45694</v>
      </c>
      <c r="C89" t="s">
        <v>65</v>
      </c>
      <c r="D89" t="s">
        <v>61</v>
      </c>
      <c r="E89" s="2">
        <v>1200</v>
      </c>
      <c r="F89" s="3">
        <v>2</v>
      </c>
      <c r="G89" s="2">
        <v>2400</v>
      </c>
      <c r="H89" t="s">
        <v>72</v>
      </c>
      <c r="I89" t="s">
        <v>63</v>
      </c>
      <c r="J89" t="s">
        <v>16</v>
      </c>
      <c r="K89" t="s">
        <v>23</v>
      </c>
      <c r="L89" t="str">
        <f t="shared" si="10"/>
        <v>Refrigerator</v>
      </c>
      <c r="M89" t="str">
        <f t="shared" si="11"/>
        <v>Home Appliances</v>
      </c>
      <c r="N89" t="str">
        <f t="shared" si="12"/>
        <v>Chris White</v>
      </c>
      <c r="O89" t="str">
        <f t="shared" si="13"/>
        <v>Seattle</v>
      </c>
      <c r="P89" t="str">
        <f t="shared" si="14"/>
        <v>Debit Card</v>
      </c>
      <c r="Q89" t="str">
        <f t="shared" si="15"/>
        <v>Pending</v>
      </c>
      <c r="R89" t="b">
        <f t="shared" si="16"/>
        <v>1</v>
      </c>
      <c r="S89" t="str">
        <f t="shared" si="17"/>
        <v>Feb</v>
      </c>
      <c r="T89" t="str">
        <f t="shared" si="18"/>
        <v>Thursday</v>
      </c>
      <c r="U89" t="str">
        <f t="shared" si="19"/>
        <v>Pending</v>
      </c>
    </row>
    <row r="90" spans="1:21" x14ac:dyDescent="0.3">
      <c r="A90" t="s">
        <v>142</v>
      </c>
      <c r="B90" s="1">
        <v>45742</v>
      </c>
      <c r="C90" t="s">
        <v>12</v>
      </c>
      <c r="D90" t="s">
        <v>13</v>
      </c>
      <c r="E90" s="2">
        <v>60</v>
      </c>
      <c r="F90" s="3">
        <v>5</v>
      </c>
      <c r="G90" s="2">
        <v>300</v>
      </c>
      <c r="H90" t="s">
        <v>14</v>
      </c>
      <c r="I90" t="s">
        <v>68</v>
      </c>
      <c r="J90" t="s">
        <v>31</v>
      </c>
      <c r="K90" t="s">
        <v>17</v>
      </c>
      <c r="L90" t="str">
        <f t="shared" si="10"/>
        <v>Running Shoes</v>
      </c>
      <c r="M90" t="str">
        <f t="shared" si="11"/>
        <v>Footwear</v>
      </c>
      <c r="N90" t="str">
        <f t="shared" si="12"/>
        <v>Emma Clark</v>
      </c>
      <c r="O90" t="str">
        <f t="shared" si="13"/>
        <v>Los Angeles</v>
      </c>
      <c r="P90" t="str">
        <f t="shared" si="14"/>
        <v>Credit Card</v>
      </c>
      <c r="Q90" t="str">
        <f t="shared" si="15"/>
        <v>Cancelled</v>
      </c>
      <c r="R90" t="b">
        <f t="shared" si="16"/>
        <v>1</v>
      </c>
      <c r="S90" t="str">
        <f t="shared" si="17"/>
        <v>Mar</v>
      </c>
      <c r="T90" t="str">
        <f t="shared" si="18"/>
        <v>Wednesday</v>
      </c>
      <c r="U90" t="str">
        <f t="shared" si="19"/>
        <v>Cancelled</v>
      </c>
    </row>
    <row r="91" spans="1:21" x14ac:dyDescent="0.3">
      <c r="A91" t="s">
        <v>143</v>
      </c>
      <c r="B91" s="1">
        <v>45740</v>
      </c>
      <c r="C91" t="s">
        <v>33</v>
      </c>
      <c r="D91" t="s">
        <v>20</v>
      </c>
      <c r="E91" s="2">
        <v>150</v>
      </c>
      <c r="F91" s="3">
        <v>5</v>
      </c>
      <c r="G91" s="2">
        <v>750</v>
      </c>
      <c r="H91" t="s">
        <v>21</v>
      </c>
      <c r="I91" t="s">
        <v>38</v>
      </c>
      <c r="J91" t="s">
        <v>27</v>
      </c>
      <c r="K91" t="s">
        <v>40</v>
      </c>
      <c r="L91" t="str">
        <f t="shared" si="10"/>
        <v>Smartwatch</v>
      </c>
      <c r="M91" t="str">
        <f t="shared" si="11"/>
        <v>Electronics</v>
      </c>
      <c r="N91" t="str">
        <f t="shared" si="12"/>
        <v>Emily Johnson</v>
      </c>
      <c r="O91" t="str">
        <f t="shared" si="13"/>
        <v>Houston</v>
      </c>
      <c r="P91" t="str">
        <f t="shared" si="14"/>
        <v>Amazon Pay</v>
      </c>
      <c r="Q91" t="str">
        <f t="shared" si="15"/>
        <v>Completed</v>
      </c>
      <c r="R91" t="b">
        <f t="shared" si="16"/>
        <v>1</v>
      </c>
      <c r="S91" t="str">
        <f t="shared" si="17"/>
        <v>Mar</v>
      </c>
      <c r="T91" t="str">
        <f t="shared" si="18"/>
        <v>Monday</v>
      </c>
      <c r="U91" t="str">
        <f t="shared" si="19"/>
        <v>Completed</v>
      </c>
    </row>
    <row r="92" spans="1:21" x14ac:dyDescent="0.3">
      <c r="A92" t="s">
        <v>144</v>
      </c>
      <c r="B92" s="1">
        <v>45691</v>
      </c>
      <c r="C92" t="s">
        <v>56</v>
      </c>
      <c r="D92" t="s">
        <v>20</v>
      </c>
      <c r="E92" s="2">
        <v>800</v>
      </c>
      <c r="F92" s="3">
        <v>4</v>
      </c>
      <c r="G92" s="2">
        <v>3200</v>
      </c>
      <c r="H92" t="s">
        <v>57</v>
      </c>
      <c r="I92" t="s">
        <v>38</v>
      </c>
      <c r="J92" t="s">
        <v>58</v>
      </c>
      <c r="K92" t="s">
        <v>23</v>
      </c>
      <c r="L92" t="str">
        <f t="shared" si="10"/>
        <v>Laptop</v>
      </c>
      <c r="M92" t="str">
        <f t="shared" si="11"/>
        <v>Electronics</v>
      </c>
      <c r="N92" t="str">
        <f t="shared" si="12"/>
        <v>Daniel Harris</v>
      </c>
      <c r="O92" t="str">
        <f t="shared" si="13"/>
        <v>Houston</v>
      </c>
      <c r="P92" t="str">
        <f t="shared" si="14"/>
        <v>Gift Card</v>
      </c>
      <c r="Q92" t="str">
        <f t="shared" si="15"/>
        <v>Pending</v>
      </c>
      <c r="R92" t="b">
        <f t="shared" si="16"/>
        <v>1</v>
      </c>
      <c r="S92" t="str">
        <f t="shared" si="17"/>
        <v>Feb</v>
      </c>
      <c r="T92" t="str">
        <f t="shared" si="18"/>
        <v>Monday</v>
      </c>
      <c r="U92" t="str">
        <f t="shared" si="19"/>
        <v>Pending</v>
      </c>
    </row>
    <row r="93" spans="1:21" x14ac:dyDescent="0.3">
      <c r="A93" t="s">
        <v>145</v>
      </c>
      <c r="B93" s="1">
        <v>45731</v>
      </c>
      <c r="C93" t="s">
        <v>42</v>
      </c>
      <c r="D93" t="s">
        <v>20</v>
      </c>
      <c r="E93" s="2">
        <v>500</v>
      </c>
      <c r="F93" s="3">
        <v>2</v>
      </c>
      <c r="G93" s="2">
        <v>1000</v>
      </c>
      <c r="H93" t="s">
        <v>29</v>
      </c>
      <c r="I93" t="s">
        <v>46</v>
      </c>
      <c r="J93" t="s">
        <v>39</v>
      </c>
      <c r="K93" t="s">
        <v>17</v>
      </c>
      <c r="L93" t="str">
        <f t="shared" si="10"/>
        <v>Smartphone</v>
      </c>
      <c r="M93" t="str">
        <f t="shared" si="11"/>
        <v>Electronics</v>
      </c>
      <c r="N93" t="str">
        <f t="shared" si="12"/>
        <v>Olivia Wilson</v>
      </c>
      <c r="O93" t="str">
        <f t="shared" si="13"/>
        <v>Boston</v>
      </c>
      <c r="P93" t="str">
        <f t="shared" si="14"/>
        <v>Paypal</v>
      </c>
      <c r="Q93" t="str">
        <f t="shared" si="15"/>
        <v>Cancelled</v>
      </c>
      <c r="R93" t="b">
        <f t="shared" si="16"/>
        <v>1</v>
      </c>
      <c r="S93" t="str">
        <f t="shared" si="17"/>
        <v>Mar</v>
      </c>
      <c r="T93" t="str">
        <f t="shared" si="18"/>
        <v>Saturday</v>
      </c>
      <c r="U93" t="str">
        <f t="shared" si="19"/>
        <v>Cancelled</v>
      </c>
    </row>
    <row r="94" spans="1:21" x14ac:dyDescent="0.3">
      <c r="A94" t="s">
        <v>146</v>
      </c>
      <c r="B94" s="1">
        <v>45722</v>
      </c>
      <c r="C94" t="s">
        <v>65</v>
      </c>
      <c r="D94" t="s">
        <v>61</v>
      </c>
      <c r="E94" s="2">
        <v>1200</v>
      </c>
      <c r="F94" s="3">
        <v>5</v>
      </c>
      <c r="G94" s="2">
        <v>6000</v>
      </c>
      <c r="H94" t="s">
        <v>51</v>
      </c>
      <c r="I94" t="s">
        <v>26</v>
      </c>
      <c r="J94" t="s">
        <v>39</v>
      </c>
      <c r="K94" t="s">
        <v>17</v>
      </c>
      <c r="L94" t="str">
        <f t="shared" si="10"/>
        <v>Refrigerator</v>
      </c>
      <c r="M94" t="str">
        <f t="shared" si="11"/>
        <v>Home Appliances</v>
      </c>
      <c r="N94" t="str">
        <f t="shared" si="12"/>
        <v>David Lee</v>
      </c>
      <c r="O94" t="str">
        <f t="shared" si="13"/>
        <v>Denver</v>
      </c>
      <c r="P94" t="str">
        <f t="shared" si="14"/>
        <v>Paypal</v>
      </c>
      <c r="Q94" t="str">
        <f t="shared" si="15"/>
        <v>Cancelled</v>
      </c>
      <c r="R94" t="b">
        <f t="shared" si="16"/>
        <v>1</v>
      </c>
      <c r="S94" t="str">
        <f t="shared" si="17"/>
        <v>Mar</v>
      </c>
      <c r="T94" t="str">
        <f t="shared" si="18"/>
        <v>Thursday</v>
      </c>
      <c r="U94" t="str">
        <f t="shared" si="19"/>
        <v>Cancelled</v>
      </c>
    </row>
    <row r="95" spans="1:21" x14ac:dyDescent="0.3">
      <c r="A95" t="s">
        <v>147</v>
      </c>
      <c r="B95" s="1">
        <v>45741</v>
      </c>
      <c r="C95" t="s">
        <v>53</v>
      </c>
      <c r="D95" t="s">
        <v>36</v>
      </c>
      <c r="E95" s="2">
        <v>40</v>
      </c>
      <c r="F95" s="3">
        <v>5</v>
      </c>
      <c r="G95" s="2">
        <v>200</v>
      </c>
      <c r="H95" t="s">
        <v>57</v>
      </c>
      <c r="I95" t="s">
        <v>63</v>
      </c>
      <c r="J95" t="s">
        <v>31</v>
      </c>
      <c r="K95" t="s">
        <v>17</v>
      </c>
      <c r="L95" t="str">
        <f t="shared" si="10"/>
        <v>Jeans</v>
      </c>
      <c r="M95" t="str">
        <f t="shared" si="11"/>
        <v>Clothing</v>
      </c>
      <c r="N95" t="str">
        <f t="shared" si="12"/>
        <v>Daniel Harris</v>
      </c>
      <c r="O95" t="str">
        <f t="shared" si="13"/>
        <v>Seattle</v>
      </c>
      <c r="P95" t="str">
        <f t="shared" si="14"/>
        <v>Credit Card</v>
      </c>
      <c r="Q95" t="str">
        <f t="shared" si="15"/>
        <v>Cancelled</v>
      </c>
      <c r="R95" t="b">
        <f t="shared" si="16"/>
        <v>1</v>
      </c>
      <c r="S95" t="str">
        <f t="shared" si="17"/>
        <v>Mar</v>
      </c>
      <c r="T95" t="str">
        <f t="shared" si="18"/>
        <v>Tuesday</v>
      </c>
      <c r="U95" t="str">
        <f t="shared" si="19"/>
        <v>Cancelled</v>
      </c>
    </row>
    <row r="96" spans="1:21" x14ac:dyDescent="0.3">
      <c r="A96" t="s">
        <v>148</v>
      </c>
      <c r="B96" s="1">
        <v>45705</v>
      </c>
      <c r="C96" t="s">
        <v>33</v>
      </c>
      <c r="D96" t="s">
        <v>20</v>
      </c>
      <c r="E96" s="2">
        <v>150</v>
      </c>
      <c r="F96" s="3">
        <v>4</v>
      </c>
      <c r="G96" s="2">
        <v>600</v>
      </c>
      <c r="H96" t="s">
        <v>72</v>
      </c>
      <c r="I96" t="s">
        <v>15</v>
      </c>
      <c r="J96" t="s">
        <v>16</v>
      </c>
      <c r="K96" t="s">
        <v>17</v>
      </c>
      <c r="L96" t="str">
        <f t="shared" si="10"/>
        <v>Smartwatch</v>
      </c>
      <c r="M96" t="str">
        <f t="shared" si="11"/>
        <v>Electronics</v>
      </c>
      <c r="N96" t="str">
        <f t="shared" si="12"/>
        <v>Chris White</v>
      </c>
      <c r="O96" t="str">
        <f t="shared" si="13"/>
        <v>New York</v>
      </c>
      <c r="P96" t="str">
        <f t="shared" si="14"/>
        <v>Debit Card</v>
      </c>
      <c r="Q96" t="str">
        <f t="shared" si="15"/>
        <v>Cancelled</v>
      </c>
      <c r="R96" t="b">
        <f t="shared" si="16"/>
        <v>1</v>
      </c>
      <c r="S96" t="str">
        <f t="shared" si="17"/>
        <v>Feb</v>
      </c>
      <c r="T96" t="str">
        <f t="shared" si="18"/>
        <v>Monday</v>
      </c>
      <c r="U96" t="str">
        <f t="shared" si="19"/>
        <v>Cancelled</v>
      </c>
    </row>
    <row r="97" spans="1:21" x14ac:dyDescent="0.3">
      <c r="A97" t="s">
        <v>149</v>
      </c>
      <c r="B97" s="1">
        <v>45746</v>
      </c>
      <c r="C97" t="s">
        <v>33</v>
      </c>
      <c r="D97" t="s">
        <v>20</v>
      </c>
      <c r="E97" s="2">
        <v>150</v>
      </c>
      <c r="F97" s="3">
        <v>3</v>
      </c>
      <c r="G97" s="2">
        <v>450</v>
      </c>
      <c r="H97" t="s">
        <v>80</v>
      </c>
      <c r="I97" t="s">
        <v>15</v>
      </c>
      <c r="J97" t="s">
        <v>27</v>
      </c>
      <c r="K97" t="s">
        <v>40</v>
      </c>
      <c r="L97" t="str">
        <f t="shared" si="10"/>
        <v>Smartwatch</v>
      </c>
      <c r="M97" t="str">
        <f t="shared" si="11"/>
        <v>Electronics</v>
      </c>
      <c r="N97" t="str">
        <f t="shared" si="12"/>
        <v>Jane Smith</v>
      </c>
      <c r="O97" t="str">
        <f t="shared" si="13"/>
        <v>New York</v>
      </c>
      <c r="P97" t="str">
        <f t="shared" si="14"/>
        <v>Amazon Pay</v>
      </c>
      <c r="Q97" t="str">
        <f t="shared" si="15"/>
        <v>Completed</v>
      </c>
      <c r="R97" t="b">
        <f t="shared" si="16"/>
        <v>1</v>
      </c>
      <c r="S97" t="str">
        <f t="shared" si="17"/>
        <v>Mar</v>
      </c>
      <c r="T97" t="str">
        <f t="shared" si="18"/>
        <v>Sunday</v>
      </c>
      <c r="U97" t="str">
        <f t="shared" si="19"/>
        <v>Completed</v>
      </c>
    </row>
    <row r="98" spans="1:21" x14ac:dyDescent="0.3">
      <c r="A98" t="s">
        <v>150</v>
      </c>
      <c r="B98" s="1">
        <v>45741</v>
      </c>
      <c r="C98" t="s">
        <v>49</v>
      </c>
      <c r="D98" t="s">
        <v>50</v>
      </c>
      <c r="E98" s="2">
        <v>15</v>
      </c>
      <c r="F98" s="3">
        <v>5</v>
      </c>
      <c r="G98" s="2">
        <v>75</v>
      </c>
      <c r="H98" t="s">
        <v>29</v>
      </c>
      <c r="I98" t="s">
        <v>81</v>
      </c>
      <c r="J98" t="s">
        <v>27</v>
      </c>
      <c r="K98" t="s">
        <v>23</v>
      </c>
      <c r="L98" t="str">
        <f t="shared" si="10"/>
        <v>Book</v>
      </c>
      <c r="M98" t="str">
        <f t="shared" si="11"/>
        <v>Books</v>
      </c>
      <c r="N98" t="str">
        <f t="shared" si="12"/>
        <v>Olivia Wilson</v>
      </c>
      <c r="O98" t="str">
        <f t="shared" si="13"/>
        <v>Chicago</v>
      </c>
      <c r="P98" t="str">
        <f t="shared" si="14"/>
        <v>Amazon Pay</v>
      </c>
      <c r="Q98" t="str">
        <f t="shared" si="15"/>
        <v>Pending</v>
      </c>
      <c r="R98" t="b">
        <f t="shared" si="16"/>
        <v>1</v>
      </c>
      <c r="S98" t="str">
        <f t="shared" si="17"/>
        <v>Mar</v>
      </c>
      <c r="T98" t="str">
        <f t="shared" si="18"/>
        <v>Tuesday</v>
      </c>
      <c r="U98" t="str">
        <f t="shared" si="19"/>
        <v>Pending</v>
      </c>
    </row>
    <row r="99" spans="1:21" x14ac:dyDescent="0.3">
      <c r="A99" t="s">
        <v>151</v>
      </c>
      <c r="B99" s="1">
        <v>45702</v>
      </c>
      <c r="C99" t="s">
        <v>33</v>
      </c>
      <c r="D99" t="s">
        <v>20</v>
      </c>
      <c r="E99" s="2">
        <v>150</v>
      </c>
      <c r="F99" s="3">
        <v>2</v>
      </c>
      <c r="G99" s="2">
        <v>300</v>
      </c>
      <c r="H99" t="s">
        <v>72</v>
      </c>
      <c r="I99" t="s">
        <v>44</v>
      </c>
      <c r="J99" t="s">
        <v>39</v>
      </c>
      <c r="K99" t="s">
        <v>23</v>
      </c>
      <c r="L99" t="str">
        <f t="shared" si="10"/>
        <v>Smartwatch</v>
      </c>
      <c r="M99" t="str">
        <f t="shared" si="11"/>
        <v>Electronics</v>
      </c>
      <c r="N99" t="str">
        <f t="shared" si="12"/>
        <v>Chris White</v>
      </c>
      <c r="O99" t="str">
        <f t="shared" si="13"/>
        <v>Miami</v>
      </c>
      <c r="P99" t="str">
        <f t="shared" si="14"/>
        <v>Paypal</v>
      </c>
      <c r="Q99" t="str">
        <f t="shared" si="15"/>
        <v>Pending</v>
      </c>
      <c r="R99" t="b">
        <f t="shared" si="16"/>
        <v>1</v>
      </c>
      <c r="S99" t="str">
        <f t="shared" si="17"/>
        <v>Feb</v>
      </c>
      <c r="T99" t="str">
        <f t="shared" si="18"/>
        <v>Friday</v>
      </c>
      <c r="U99" t="str">
        <f t="shared" si="19"/>
        <v>Pending</v>
      </c>
    </row>
    <row r="100" spans="1:21" x14ac:dyDescent="0.3">
      <c r="A100" t="s">
        <v>152</v>
      </c>
      <c r="B100" s="1">
        <v>45706</v>
      </c>
      <c r="C100" t="s">
        <v>60</v>
      </c>
      <c r="D100" t="s">
        <v>61</v>
      </c>
      <c r="E100" s="2">
        <v>600</v>
      </c>
      <c r="F100" s="3">
        <v>5</v>
      </c>
      <c r="G100" s="2">
        <v>3000</v>
      </c>
      <c r="H100" t="s">
        <v>54</v>
      </c>
      <c r="I100" t="s">
        <v>63</v>
      </c>
      <c r="J100" t="s">
        <v>16</v>
      </c>
      <c r="K100" t="s">
        <v>40</v>
      </c>
      <c r="L100" t="str">
        <f t="shared" si="10"/>
        <v>Washing Machine</v>
      </c>
      <c r="M100" t="str">
        <f t="shared" si="11"/>
        <v>Home Appliances</v>
      </c>
      <c r="N100" t="str">
        <f t="shared" si="12"/>
        <v>Michael Brown</v>
      </c>
      <c r="O100" t="str">
        <f t="shared" si="13"/>
        <v>Seattle</v>
      </c>
      <c r="P100" t="str">
        <f t="shared" si="14"/>
        <v>Debit Card</v>
      </c>
      <c r="Q100" t="str">
        <f t="shared" si="15"/>
        <v>Completed</v>
      </c>
      <c r="R100" t="b">
        <f t="shared" si="16"/>
        <v>1</v>
      </c>
      <c r="S100" t="str">
        <f t="shared" si="17"/>
        <v>Feb</v>
      </c>
      <c r="T100" t="str">
        <f t="shared" si="18"/>
        <v>Tuesday</v>
      </c>
      <c r="U100" t="str">
        <f t="shared" si="19"/>
        <v>Completed</v>
      </c>
    </row>
    <row r="101" spans="1:21" x14ac:dyDescent="0.3">
      <c r="A101" t="s">
        <v>153</v>
      </c>
      <c r="B101" s="1">
        <v>45701</v>
      </c>
      <c r="C101" t="s">
        <v>12</v>
      </c>
      <c r="D101" t="s">
        <v>13</v>
      </c>
      <c r="E101" s="2">
        <v>60</v>
      </c>
      <c r="F101" s="3">
        <v>1</v>
      </c>
      <c r="G101" s="2">
        <v>60</v>
      </c>
      <c r="H101" t="s">
        <v>80</v>
      </c>
      <c r="I101" t="s">
        <v>38</v>
      </c>
      <c r="J101" t="s">
        <v>58</v>
      </c>
      <c r="K101" t="s">
        <v>17</v>
      </c>
      <c r="L101" t="str">
        <f t="shared" si="10"/>
        <v>Running Shoes</v>
      </c>
      <c r="M101" t="str">
        <f t="shared" si="11"/>
        <v>Footwear</v>
      </c>
      <c r="N101" t="str">
        <f t="shared" si="12"/>
        <v>Jane Smith</v>
      </c>
      <c r="O101" t="str">
        <f t="shared" si="13"/>
        <v>Houston</v>
      </c>
      <c r="P101" t="str">
        <f t="shared" si="14"/>
        <v>Gift Card</v>
      </c>
      <c r="Q101" t="str">
        <f t="shared" si="15"/>
        <v>Cancelled</v>
      </c>
      <c r="R101" t="b">
        <f t="shared" si="16"/>
        <v>1</v>
      </c>
      <c r="S101" t="str">
        <f t="shared" si="17"/>
        <v>Feb</v>
      </c>
      <c r="T101" t="str">
        <f t="shared" si="18"/>
        <v>Thursday</v>
      </c>
      <c r="U101" t="str">
        <f t="shared" si="19"/>
        <v>Cancelled</v>
      </c>
    </row>
    <row r="102" spans="1:21" x14ac:dyDescent="0.3">
      <c r="A102" t="s">
        <v>154</v>
      </c>
      <c r="B102" s="1">
        <v>45708</v>
      </c>
      <c r="C102" t="s">
        <v>49</v>
      </c>
      <c r="D102" t="s">
        <v>50</v>
      </c>
      <c r="E102" s="2">
        <v>15</v>
      </c>
      <c r="F102" s="3">
        <v>5</v>
      </c>
      <c r="G102" s="2">
        <v>75</v>
      </c>
      <c r="H102" t="s">
        <v>25</v>
      </c>
      <c r="I102" t="s">
        <v>26</v>
      </c>
      <c r="J102" t="s">
        <v>39</v>
      </c>
      <c r="K102" t="s">
        <v>23</v>
      </c>
      <c r="L102" t="str">
        <f t="shared" si="10"/>
        <v>Book</v>
      </c>
      <c r="M102" t="str">
        <f t="shared" si="11"/>
        <v>Books</v>
      </c>
      <c r="N102" t="str">
        <f t="shared" si="12"/>
        <v>John Doe</v>
      </c>
      <c r="O102" t="str">
        <f t="shared" si="13"/>
        <v>Denver</v>
      </c>
      <c r="P102" t="str">
        <f t="shared" si="14"/>
        <v>Paypal</v>
      </c>
      <c r="Q102" t="str">
        <f t="shared" si="15"/>
        <v>Pending</v>
      </c>
      <c r="R102" t="b">
        <f t="shared" si="16"/>
        <v>1</v>
      </c>
      <c r="S102" t="str">
        <f t="shared" si="17"/>
        <v>Feb</v>
      </c>
      <c r="T102" t="str">
        <f t="shared" si="18"/>
        <v>Thursday</v>
      </c>
      <c r="U102" t="str">
        <f t="shared" si="19"/>
        <v>Pending</v>
      </c>
    </row>
    <row r="103" spans="1:21" x14ac:dyDescent="0.3">
      <c r="A103" t="s">
        <v>155</v>
      </c>
      <c r="B103" s="1">
        <v>45716</v>
      </c>
      <c r="C103" t="s">
        <v>42</v>
      </c>
      <c r="D103" t="s">
        <v>20</v>
      </c>
      <c r="E103" s="2">
        <v>500</v>
      </c>
      <c r="F103" s="3">
        <v>2</v>
      </c>
      <c r="G103" s="2">
        <v>1000</v>
      </c>
      <c r="H103" t="s">
        <v>51</v>
      </c>
      <c r="I103" t="s">
        <v>46</v>
      </c>
      <c r="J103" t="s">
        <v>39</v>
      </c>
      <c r="K103" t="s">
        <v>23</v>
      </c>
      <c r="L103" t="str">
        <f t="shared" si="10"/>
        <v>Smartphone</v>
      </c>
      <c r="M103" t="str">
        <f t="shared" si="11"/>
        <v>Electronics</v>
      </c>
      <c r="N103" t="str">
        <f t="shared" si="12"/>
        <v>David Lee</v>
      </c>
      <c r="O103" t="str">
        <f t="shared" si="13"/>
        <v>Boston</v>
      </c>
      <c r="P103" t="str">
        <f t="shared" si="14"/>
        <v>Paypal</v>
      </c>
      <c r="Q103" t="str">
        <f t="shared" si="15"/>
        <v>Pending</v>
      </c>
      <c r="R103" t="b">
        <f t="shared" si="16"/>
        <v>1</v>
      </c>
      <c r="S103" t="str">
        <f t="shared" si="17"/>
        <v>Feb</v>
      </c>
      <c r="T103" t="str">
        <f t="shared" si="18"/>
        <v>Friday</v>
      </c>
      <c r="U103" t="str">
        <f t="shared" si="19"/>
        <v>Pending</v>
      </c>
    </row>
    <row r="104" spans="1:21" x14ac:dyDescent="0.3">
      <c r="A104" t="s">
        <v>156</v>
      </c>
      <c r="B104" s="1">
        <v>45730</v>
      </c>
      <c r="C104" t="s">
        <v>35</v>
      </c>
      <c r="D104" t="s">
        <v>36</v>
      </c>
      <c r="E104" s="2">
        <v>20</v>
      </c>
      <c r="F104" s="3">
        <v>2</v>
      </c>
      <c r="G104" s="2">
        <v>40</v>
      </c>
      <c r="H104" t="s">
        <v>54</v>
      </c>
      <c r="I104" t="s">
        <v>81</v>
      </c>
      <c r="J104" t="s">
        <v>39</v>
      </c>
      <c r="K104" t="s">
        <v>23</v>
      </c>
      <c r="L104" t="str">
        <f t="shared" si="10"/>
        <v>T-Shirt</v>
      </c>
      <c r="M104" t="str">
        <f t="shared" si="11"/>
        <v>Clothing</v>
      </c>
      <c r="N104" t="str">
        <f t="shared" si="12"/>
        <v>Michael Brown</v>
      </c>
      <c r="O104" t="str">
        <f t="shared" si="13"/>
        <v>Chicago</v>
      </c>
      <c r="P104" t="str">
        <f t="shared" si="14"/>
        <v>Paypal</v>
      </c>
      <c r="Q104" t="str">
        <f t="shared" si="15"/>
        <v>Pending</v>
      </c>
      <c r="R104" t="b">
        <f t="shared" si="16"/>
        <v>1</v>
      </c>
      <c r="S104" t="str">
        <f t="shared" si="17"/>
        <v>Mar</v>
      </c>
      <c r="T104" t="str">
        <f t="shared" si="18"/>
        <v>Friday</v>
      </c>
      <c r="U104" t="str">
        <f t="shared" si="19"/>
        <v>Pending</v>
      </c>
    </row>
    <row r="105" spans="1:21" x14ac:dyDescent="0.3">
      <c r="A105" t="s">
        <v>157</v>
      </c>
      <c r="B105" s="1">
        <v>45710</v>
      </c>
      <c r="C105" t="s">
        <v>53</v>
      </c>
      <c r="D105" t="s">
        <v>36</v>
      </c>
      <c r="E105" s="2">
        <v>40</v>
      </c>
      <c r="F105" s="3">
        <v>5</v>
      </c>
      <c r="G105" s="2">
        <v>200</v>
      </c>
      <c r="H105" t="s">
        <v>80</v>
      </c>
      <c r="I105" t="s">
        <v>30</v>
      </c>
      <c r="J105" t="s">
        <v>16</v>
      </c>
      <c r="K105" t="s">
        <v>23</v>
      </c>
      <c r="L105" t="str">
        <f t="shared" si="10"/>
        <v>Jeans</v>
      </c>
      <c r="M105" t="str">
        <f t="shared" si="11"/>
        <v>Clothing</v>
      </c>
      <c r="N105" t="str">
        <f t="shared" si="12"/>
        <v>Jane Smith</v>
      </c>
      <c r="O105" t="str">
        <f t="shared" si="13"/>
        <v>Dallas</v>
      </c>
      <c r="P105" t="str">
        <f t="shared" si="14"/>
        <v>Debit Card</v>
      </c>
      <c r="Q105" t="str">
        <f t="shared" si="15"/>
        <v>Pending</v>
      </c>
      <c r="R105" t="b">
        <f t="shared" si="16"/>
        <v>1</v>
      </c>
      <c r="S105" t="str">
        <f t="shared" si="17"/>
        <v>Feb</v>
      </c>
      <c r="T105" t="str">
        <f t="shared" si="18"/>
        <v>Saturday</v>
      </c>
      <c r="U105" t="str">
        <f t="shared" si="19"/>
        <v>Pending</v>
      </c>
    </row>
    <row r="106" spans="1:21" x14ac:dyDescent="0.3">
      <c r="A106" t="s">
        <v>158</v>
      </c>
      <c r="B106" s="1">
        <v>45732</v>
      </c>
      <c r="C106" t="s">
        <v>53</v>
      </c>
      <c r="D106" t="s">
        <v>36</v>
      </c>
      <c r="E106" s="2">
        <v>40</v>
      </c>
      <c r="F106" s="3">
        <v>1</v>
      </c>
      <c r="G106" s="2">
        <v>40</v>
      </c>
      <c r="H106" t="s">
        <v>80</v>
      </c>
      <c r="I106" t="s">
        <v>46</v>
      </c>
      <c r="J106" t="s">
        <v>16</v>
      </c>
      <c r="K106" t="s">
        <v>23</v>
      </c>
      <c r="L106" t="str">
        <f t="shared" si="10"/>
        <v>Jeans</v>
      </c>
      <c r="M106" t="str">
        <f t="shared" si="11"/>
        <v>Clothing</v>
      </c>
      <c r="N106" t="str">
        <f t="shared" si="12"/>
        <v>Jane Smith</v>
      </c>
      <c r="O106" t="str">
        <f t="shared" si="13"/>
        <v>Boston</v>
      </c>
      <c r="P106" t="str">
        <f t="shared" si="14"/>
        <v>Debit Card</v>
      </c>
      <c r="Q106" t="str">
        <f t="shared" si="15"/>
        <v>Pending</v>
      </c>
      <c r="R106" t="b">
        <f t="shared" si="16"/>
        <v>1</v>
      </c>
      <c r="S106" t="str">
        <f t="shared" si="17"/>
        <v>Mar</v>
      </c>
      <c r="T106" t="str">
        <f t="shared" si="18"/>
        <v>Sunday</v>
      </c>
      <c r="U106" t="str">
        <f t="shared" si="19"/>
        <v>Pending</v>
      </c>
    </row>
    <row r="107" spans="1:21" x14ac:dyDescent="0.3">
      <c r="A107" t="s">
        <v>159</v>
      </c>
      <c r="B107" s="1">
        <v>45731</v>
      </c>
      <c r="C107" t="s">
        <v>35</v>
      </c>
      <c r="D107" t="s">
        <v>36</v>
      </c>
      <c r="E107" s="2">
        <v>20</v>
      </c>
      <c r="F107" s="3">
        <v>3</v>
      </c>
      <c r="G107" s="2">
        <v>60</v>
      </c>
      <c r="H107" t="s">
        <v>29</v>
      </c>
      <c r="I107" t="s">
        <v>81</v>
      </c>
      <c r="J107" t="s">
        <v>39</v>
      </c>
      <c r="K107" t="s">
        <v>23</v>
      </c>
      <c r="L107" t="str">
        <f t="shared" si="10"/>
        <v>T-Shirt</v>
      </c>
      <c r="M107" t="str">
        <f t="shared" si="11"/>
        <v>Clothing</v>
      </c>
      <c r="N107" t="str">
        <f t="shared" si="12"/>
        <v>Olivia Wilson</v>
      </c>
      <c r="O107" t="str">
        <f t="shared" si="13"/>
        <v>Chicago</v>
      </c>
      <c r="P107" t="str">
        <f t="shared" si="14"/>
        <v>Paypal</v>
      </c>
      <c r="Q107" t="str">
        <f t="shared" si="15"/>
        <v>Pending</v>
      </c>
      <c r="R107" t="b">
        <f t="shared" si="16"/>
        <v>1</v>
      </c>
      <c r="S107" t="str">
        <f t="shared" si="17"/>
        <v>Mar</v>
      </c>
      <c r="T107" t="str">
        <f t="shared" si="18"/>
        <v>Saturday</v>
      </c>
      <c r="U107" t="str">
        <f t="shared" si="19"/>
        <v>Pending</v>
      </c>
    </row>
    <row r="108" spans="1:21" x14ac:dyDescent="0.3">
      <c r="A108" t="s">
        <v>160</v>
      </c>
      <c r="B108" s="1">
        <v>45735</v>
      </c>
      <c r="C108" t="s">
        <v>53</v>
      </c>
      <c r="D108" t="s">
        <v>36</v>
      </c>
      <c r="E108" s="2">
        <v>40</v>
      </c>
      <c r="F108" s="3">
        <v>3</v>
      </c>
      <c r="G108" s="2">
        <v>120</v>
      </c>
      <c r="H108" t="s">
        <v>29</v>
      </c>
      <c r="I108" t="s">
        <v>30</v>
      </c>
      <c r="J108" t="s">
        <v>31</v>
      </c>
      <c r="K108" t="s">
        <v>17</v>
      </c>
      <c r="L108" t="str">
        <f t="shared" si="10"/>
        <v>Jeans</v>
      </c>
      <c r="M108" t="str">
        <f t="shared" si="11"/>
        <v>Clothing</v>
      </c>
      <c r="N108" t="str">
        <f t="shared" si="12"/>
        <v>Olivia Wilson</v>
      </c>
      <c r="O108" t="str">
        <f t="shared" si="13"/>
        <v>Dallas</v>
      </c>
      <c r="P108" t="str">
        <f t="shared" si="14"/>
        <v>Credit Card</v>
      </c>
      <c r="Q108" t="str">
        <f t="shared" si="15"/>
        <v>Cancelled</v>
      </c>
      <c r="R108" t="b">
        <f t="shared" si="16"/>
        <v>1</v>
      </c>
      <c r="S108" t="str">
        <f t="shared" si="17"/>
        <v>Mar</v>
      </c>
      <c r="T108" t="str">
        <f t="shared" si="18"/>
        <v>Wednesday</v>
      </c>
      <c r="U108" t="str">
        <f t="shared" si="19"/>
        <v>Cancelled</v>
      </c>
    </row>
    <row r="109" spans="1:21" x14ac:dyDescent="0.3">
      <c r="A109" t="s">
        <v>161</v>
      </c>
      <c r="B109" s="1">
        <v>45732</v>
      </c>
      <c r="C109" t="s">
        <v>19</v>
      </c>
      <c r="D109" t="s">
        <v>20</v>
      </c>
      <c r="E109" s="2">
        <v>100</v>
      </c>
      <c r="F109" s="3">
        <v>2</v>
      </c>
      <c r="G109" s="2">
        <v>200</v>
      </c>
      <c r="H109" t="s">
        <v>57</v>
      </c>
      <c r="I109" t="s">
        <v>44</v>
      </c>
      <c r="J109" t="s">
        <v>39</v>
      </c>
      <c r="K109" t="s">
        <v>23</v>
      </c>
      <c r="L109" t="str">
        <f t="shared" si="10"/>
        <v>Headphones</v>
      </c>
      <c r="M109" t="str">
        <f t="shared" si="11"/>
        <v>Electronics</v>
      </c>
      <c r="N109" t="str">
        <f t="shared" si="12"/>
        <v>Daniel Harris</v>
      </c>
      <c r="O109" t="str">
        <f t="shared" si="13"/>
        <v>Miami</v>
      </c>
      <c r="P109" t="str">
        <f t="shared" si="14"/>
        <v>Paypal</v>
      </c>
      <c r="Q109" t="str">
        <f t="shared" si="15"/>
        <v>Pending</v>
      </c>
      <c r="R109" t="b">
        <f t="shared" si="16"/>
        <v>1</v>
      </c>
      <c r="S109" t="str">
        <f t="shared" si="17"/>
        <v>Mar</v>
      </c>
      <c r="T109" t="str">
        <f t="shared" si="18"/>
        <v>Sunday</v>
      </c>
      <c r="U109" t="str">
        <f t="shared" si="19"/>
        <v>Pending</v>
      </c>
    </row>
    <row r="110" spans="1:21" x14ac:dyDescent="0.3">
      <c r="A110" t="s">
        <v>162</v>
      </c>
      <c r="B110" s="1">
        <v>45733</v>
      </c>
      <c r="C110" t="s">
        <v>53</v>
      </c>
      <c r="D110" t="s">
        <v>36</v>
      </c>
      <c r="E110" s="2">
        <v>40</v>
      </c>
      <c r="F110" s="3">
        <v>5</v>
      </c>
      <c r="G110" s="2">
        <v>200</v>
      </c>
      <c r="H110" t="s">
        <v>54</v>
      </c>
      <c r="I110" t="s">
        <v>15</v>
      </c>
      <c r="J110" t="s">
        <v>39</v>
      </c>
      <c r="K110" t="s">
        <v>40</v>
      </c>
      <c r="L110" t="str">
        <f t="shared" si="10"/>
        <v>Jeans</v>
      </c>
      <c r="M110" t="str">
        <f t="shared" si="11"/>
        <v>Clothing</v>
      </c>
      <c r="N110" t="str">
        <f t="shared" si="12"/>
        <v>Michael Brown</v>
      </c>
      <c r="O110" t="str">
        <f t="shared" si="13"/>
        <v>New York</v>
      </c>
      <c r="P110" t="str">
        <f t="shared" si="14"/>
        <v>Paypal</v>
      </c>
      <c r="Q110" t="str">
        <f t="shared" si="15"/>
        <v>Completed</v>
      </c>
      <c r="R110" t="b">
        <f t="shared" si="16"/>
        <v>1</v>
      </c>
      <c r="S110" t="str">
        <f t="shared" si="17"/>
        <v>Mar</v>
      </c>
      <c r="T110" t="str">
        <f t="shared" si="18"/>
        <v>Monday</v>
      </c>
      <c r="U110" t="str">
        <f t="shared" si="19"/>
        <v>Completed</v>
      </c>
    </row>
    <row r="111" spans="1:21" x14ac:dyDescent="0.3">
      <c r="A111" t="s">
        <v>163</v>
      </c>
      <c r="B111" s="1">
        <v>45706</v>
      </c>
      <c r="C111" t="s">
        <v>42</v>
      </c>
      <c r="D111" t="s">
        <v>20</v>
      </c>
      <c r="E111" s="2">
        <v>500</v>
      </c>
      <c r="F111" s="3">
        <v>5</v>
      </c>
      <c r="G111" s="2">
        <v>2500</v>
      </c>
      <c r="H111" t="s">
        <v>29</v>
      </c>
      <c r="I111" t="s">
        <v>30</v>
      </c>
      <c r="J111" t="s">
        <v>27</v>
      </c>
      <c r="K111" t="s">
        <v>23</v>
      </c>
      <c r="L111" t="str">
        <f t="shared" si="10"/>
        <v>Smartphone</v>
      </c>
      <c r="M111" t="str">
        <f t="shared" si="11"/>
        <v>Electronics</v>
      </c>
      <c r="N111" t="str">
        <f t="shared" si="12"/>
        <v>Olivia Wilson</v>
      </c>
      <c r="O111" t="str">
        <f t="shared" si="13"/>
        <v>Dallas</v>
      </c>
      <c r="P111" t="str">
        <f t="shared" si="14"/>
        <v>Amazon Pay</v>
      </c>
      <c r="Q111" t="str">
        <f t="shared" si="15"/>
        <v>Pending</v>
      </c>
      <c r="R111" t="b">
        <f t="shared" si="16"/>
        <v>1</v>
      </c>
      <c r="S111" t="str">
        <f t="shared" si="17"/>
        <v>Feb</v>
      </c>
      <c r="T111" t="str">
        <f t="shared" si="18"/>
        <v>Tuesday</v>
      </c>
      <c r="U111" t="str">
        <f t="shared" si="19"/>
        <v>Pending</v>
      </c>
    </row>
    <row r="112" spans="1:21" x14ac:dyDescent="0.3">
      <c r="A112" t="s">
        <v>164</v>
      </c>
      <c r="B112" s="1">
        <v>45747</v>
      </c>
      <c r="C112" t="s">
        <v>56</v>
      </c>
      <c r="D112" t="s">
        <v>20</v>
      </c>
      <c r="E112" s="2">
        <v>800</v>
      </c>
      <c r="F112" s="3">
        <v>4</v>
      </c>
      <c r="G112" s="2">
        <v>3200</v>
      </c>
      <c r="H112" t="s">
        <v>14</v>
      </c>
      <c r="I112" t="s">
        <v>68</v>
      </c>
      <c r="J112" t="s">
        <v>31</v>
      </c>
      <c r="K112" t="s">
        <v>40</v>
      </c>
      <c r="L112" t="str">
        <f t="shared" si="10"/>
        <v>Laptop</v>
      </c>
      <c r="M112" t="str">
        <f t="shared" si="11"/>
        <v>Electronics</v>
      </c>
      <c r="N112" t="str">
        <f t="shared" si="12"/>
        <v>Emma Clark</v>
      </c>
      <c r="O112" t="str">
        <f t="shared" si="13"/>
        <v>Los Angeles</v>
      </c>
      <c r="P112" t="str">
        <f t="shared" si="14"/>
        <v>Credit Card</v>
      </c>
      <c r="Q112" t="str">
        <f t="shared" si="15"/>
        <v>Completed</v>
      </c>
      <c r="R112" t="b">
        <f t="shared" si="16"/>
        <v>1</v>
      </c>
      <c r="S112" t="str">
        <f t="shared" si="17"/>
        <v>Mar</v>
      </c>
      <c r="T112" t="str">
        <f t="shared" si="18"/>
        <v>Monday</v>
      </c>
      <c r="U112" t="str">
        <f t="shared" si="19"/>
        <v>Completed</v>
      </c>
    </row>
    <row r="113" spans="1:21" x14ac:dyDescent="0.3">
      <c r="A113" t="s">
        <v>165</v>
      </c>
      <c r="B113" s="1">
        <v>45722</v>
      </c>
      <c r="C113" t="s">
        <v>60</v>
      </c>
      <c r="D113" t="s">
        <v>61</v>
      </c>
      <c r="E113" s="2">
        <v>600</v>
      </c>
      <c r="F113" s="3">
        <v>2</v>
      </c>
      <c r="G113" s="2">
        <v>1200</v>
      </c>
      <c r="H113" t="s">
        <v>51</v>
      </c>
      <c r="I113" t="s">
        <v>30</v>
      </c>
      <c r="J113" t="s">
        <v>58</v>
      </c>
      <c r="K113" t="s">
        <v>17</v>
      </c>
      <c r="L113" t="str">
        <f t="shared" si="10"/>
        <v>Washing Machine</v>
      </c>
      <c r="M113" t="str">
        <f t="shared" si="11"/>
        <v>Home Appliances</v>
      </c>
      <c r="N113" t="str">
        <f t="shared" si="12"/>
        <v>David Lee</v>
      </c>
      <c r="O113" t="str">
        <f t="shared" si="13"/>
        <v>Dallas</v>
      </c>
      <c r="P113" t="str">
        <f t="shared" si="14"/>
        <v>Gift Card</v>
      </c>
      <c r="Q113" t="str">
        <f t="shared" si="15"/>
        <v>Cancelled</v>
      </c>
      <c r="R113" t="b">
        <f t="shared" si="16"/>
        <v>1</v>
      </c>
      <c r="S113" t="str">
        <f t="shared" si="17"/>
        <v>Mar</v>
      </c>
      <c r="T113" t="str">
        <f t="shared" si="18"/>
        <v>Thursday</v>
      </c>
      <c r="U113" t="str">
        <f t="shared" si="19"/>
        <v>Cancelled</v>
      </c>
    </row>
    <row r="114" spans="1:21" x14ac:dyDescent="0.3">
      <c r="A114" t="s">
        <v>166</v>
      </c>
      <c r="B114" s="1">
        <v>45735</v>
      </c>
      <c r="C114" t="s">
        <v>49</v>
      </c>
      <c r="D114" t="s">
        <v>50</v>
      </c>
      <c r="E114" s="2">
        <v>15</v>
      </c>
      <c r="F114" s="3">
        <v>5</v>
      </c>
      <c r="G114" s="2">
        <v>75</v>
      </c>
      <c r="H114" t="s">
        <v>51</v>
      </c>
      <c r="I114" t="s">
        <v>22</v>
      </c>
      <c r="J114" t="s">
        <v>16</v>
      </c>
      <c r="K114" t="s">
        <v>23</v>
      </c>
      <c r="L114" t="str">
        <f t="shared" si="10"/>
        <v>Book</v>
      </c>
      <c r="M114" t="str">
        <f t="shared" si="11"/>
        <v>Books</v>
      </c>
      <c r="N114" t="str">
        <f t="shared" si="12"/>
        <v>David Lee</v>
      </c>
      <c r="O114" t="str">
        <f t="shared" si="13"/>
        <v>San Francisco</v>
      </c>
      <c r="P114" t="str">
        <f t="shared" si="14"/>
        <v>Debit Card</v>
      </c>
      <c r="Q114" t="str">
        <f t="shared" si="15"/>
        <v>Pending</v>
      </c>
      <c r="R114" t="b">
        <f t="shared" si="16"/>
        <v>1</v>
      </c>
      <c r="S114" t="str">
        <f t="shared" si="17"/>
        <v>Mar</v>
      </c>
      <c r="T114" t="str">
        <f t="shared" si="18"/>
        <v>Wednesday</v>
      </c>
      <c r="U114" t="str">
        <f t="shared" si="19"/>
        <v>Pending</v>
      </c>
    </row>
    <row r="115" spans="1:21" x14ac:dyDescent="0.3">
      <c r="A115" t="s">
        <v>167</v>
      </c>
      <c r="B115" s="1">
        <v>45711</v>
      </c>
      <c r="C115" t="s">
        <v>12</v>
      </c>
      <c r="D115" t="s">
        <v>13</v>
      </c>
      <c r="E115" s="2">
        <v>60</v>
      </c>
      <c r="F115" s="3">
        <v>1</v>
      </c>
      <c r="G115" s="2">
        <v>60</v>
      </c>
      <c r="H115" t="s">
        <v>14</v>
      </c>
      <c r="I115" t="s">
        <v>38</v>
      </c>
      <c r="J115" t="s">
        <v>31</v>
      </c>
      <c r="K115" t="s">
        <v>23</v>
      </c>
      <c r="L115" t="str">
        <f t="shared" si="10"/>
        <v>Running Shoes</v>
      </c>
      <c r="M115" t="str">
        <f t="shared" si="11"/>
        <v>Footwear</v>
      </c>
      <c r="N115" t="str">
        <f t="shared" si="12"/>
        <v>Emma Clark</v>
      </c>
      <c r="O115" t="str">
        <f t="shared" si="13"/>
        <v>Houston</v>
      </c>
      <c r="P115" t="str">
        <f t="shared" si="14"/>
        <v>Credit Card</v>
      </c>
      <c r="Q115" t="str">
        <f t="shared" si="15"/>
        <v>Pending</v>
      </c>
      <c r="R115" t="b">
        <f t="shared" si="16"/>
        <v>1</v>
      </c>
      <c r="S115" t="str">
        <f t="shared" si="17"/>
        <v>Feb</v>
      </c>
      <c r="T115" t="str">
        <f t="shared" si="18"/>
        <v>Sunday</v>
      </c>
      <c r="U115" t="str">
        <f t="shared" si="19"/>
        <v>Pending</v>
      </c>
    </row>
    <row r="116" spans="1:21" x14ac:dyDescent="0.3">
      <c r="A116" t="s">
        <v>168</v>
      </c>
      <c r="B116" s="1">
        <v>45737</v>
      </c>
      <c r="C116" t="s">
        <v>12</v>
      </c>
      <c r="D116" t="s">
        <v>13</v>
      </c>
      <c r="E116" s="2">
        <v>60</v>
      </c>
      <c r="F116" s="3">
        <v>3</v>
      </c>
      <c r="G116" s="2">
        <v>180</v>
      </c>
      <c r="H116" t="s">
        <v>29</v>
      </c>
      <c r="I116" t="s">
        <v>44</v>
      </c>
      <c r="J116" t="s">
        <v>27</v>
      </c>
      <c r="K116" t="s">
        <v>40</v>
      </c>
      <c r="L116" t="str">
        <f t="shared" si="10"/>
        <v>Running Shoes</v>
      </c>
      <c r="M116" t="str">
        <f t="shared" si="11"/>
        <v>Footwear</v>
      </c>
      <c r="N116" t="str">
        <f t="shared" si="12"/>
        <v>Olivia Wilson</v>
      </c>
      <c r="O116" t="str">
        <f t="shared" si="13"/>
        <v>Miami</v>
      </c>
      <c r="P116" t="str">
        <f t="shared" si="14"/>
        <v>Amazon Pay</v>
      </c>
      <c r="Q116" t="str">
        <f t="shared" si="15"/>
        <v>Completed</v>
      </c>
      <c r="R116" t="b">
        <f t="shared" si="16"/>
        <v>1</v>
      </c>
      <c r="S116" t="str">
        <f t="shared" si="17"/>
        <v>Mar</v>
      </c>
      <c r="T116" t="str">
        <f t="shared" si="18"/>
        <v>Friday</v>
      </c>
      <c r="U116" t="str">
        <f t="shared" si="19"/>
        <v>Completed</v>
      </c>
    </row>
    <row r="117" spans="1:21" x14ac:dyDescent="0.3">
      <c r="A117" t="s">
        <v>169</v>
      </c>
      <c r="B117" s="1">
        <v>45735</v>
      </c>
      <c r="C117" t="s">
        <v>56</v>
      </c>
      <c r="D117" t="s">
        <v>20</v>
      </c>
      <c r="E117" s="2">
        <v>800</v>
      </c>
      <c r="F117" s="3">
        <v>4</v>
      </c>
      <c r="G117" s="2">
        <v>3200</v>
      </c>
      <c r="H117" t="s">
        <v>14</v>
      </c>
      <c r="I117" t="s">
        <v>68</v>
      </c>
      <c r="J117" t="s">
        <v>27</v>
      </c>
      <c r="K117" t="s">
        <v>40</v>
      </c>
      <c r="L117" t="str">
        <f t="shared" si="10"/>
        <v>Laptop</v>
      </c>
      <c r="M117" t="str">
        <f t="shared" si="11"/>
        <v>Electronics</v>
      </c>
      <c r="N117" t="str">
        <f t="shared" si="12"/>
        <v>Emma Clark</v>
      </c>
      <c r="O117" t="str">
        <f t="shared" si="13"/>
        <v>Los Angeles</v>
      </c>
      <c r="P117" t="str">
        <f t="shared" si="14"/>
        <v>Amazon Pay</v>
      </c>
      <c r="Q117" t="str">
        <f t="shared" si="15"/>
        <v>Completed</v>
      </c>
      <c r="R117" t="b">
        <f t="shared" si="16"/>
        <v>1</v>
      </c>
      <c r="S117" t="str">
        <f t="shared" si="17"/>
        <v>Mar</v>
      </c>
      <c r="T117" t="str">
        <f t="shared" si="18"/>
        <v>Wednesday</v>
      </c>
      <c r="U117" t="str">
        <f t="shared" si="19"/>
        <v>Completed</v>
      </c>
    </row>
    <row r="118" spans="1:21" x14ac:dyDescent="0.3">
      <c r="A118" t="s">
        <v>170</v>
      </c>
      <c r="B118" s="1">
        <v>45715</v>
      </c>
      <c r="C118" t="s">
        <v>35</v>
      </c>
      <c r="D118" t="s">
        <v>36</v>
      </c>
      <c r="E118" s="2">
        <v>20</v>
      </c>
      <c r="F118" s="3">
        <v>1</v>
      </c>
      <c r="G118" s="2">
        <v>20</v>
      </c>
      <c r="H118" t="s">
        <v>57</v>
      </c>
      <c r="I118" t="s">
        <v>15</v>
      </c>
      <c r="J118" t="s">
        <v>31</v>
      </c>
      <c r="K118" t="s">
        <v>40</v>
      </c>
      <c r="L118" t="str">
        <f t="shared" si="10"/>
        <v>T-Shirt</v>
      </c>
      <c r="M118" t="str">
        <f t="shared" si="11"/>
        <v>Clothing</v>
      </c>
      <c r="N118" t="str">
        <f t="shared" si="12"/>
        <v>Daniel Harris</v>
      </c>
      <c r="O118" t="str">
        <f t="shared" si="13"/>
        <v>New York</v>
      </c>
      <c r="P118" t="str">
        <f t="shared" si="14"/>
        <v>Credit Card</v>
      </c>
      <c r="Q118" t="str">
        <f t="shared" si="15"/>
        <v>Completed</v>
      </c>
      <c r="R118" t="b">
        <f t="shared" si="16"/>
        <v>1</v>
      </c>
      <c r="S118" t="str">
        <f t="shared" si="17"/>
        <v>Feb</v>
      </c>
      <c r="T118" t="str">
        <f t="shared" si="18"/>
        <v>Thursday</v>
      </c>
      <c r="U118" t="str">
        <f t="shared" si="19"/>
        <v>Completed</v>
      </c>
    </row>
    <row r="119" spans="1:21" x14ac:dyDescent="0.3">
      <c r="A119" t="s">
        <v>171</v>
      </c>
      <c r="B119" s="1">
        <v>45698</v>
      </c>
      <c r="C119" t="s">
        <v>19</v>
      </c>
      <c r="D119" t="s">
        <v>20</v>
      </c>
      <c r="E119" s="2">
        <v>100</v>
      </c>
      <c r="F119" s="3">
        <v>5</v>
      </c>
      <c r="G119" s="2">
        <v>500</v>
      </c>
      <c r="H119" t="s">
        <v>25</v>
      </c>
      <c r="I119" t="s">
        <v>38</v>
      </c>
      <c r="J119" t="s">
        <v>27</v>
      </c>
      <c r="K119" t="s">
        <v>40</v>
      </c>
      <c r="L119" t="str">
        <f t="shared" si="10"/>
        <v>Headphones</v>
      </c>
      <c r="M119" t="str">
        <f t="shared" si="11"/>
        <v>Electronics</v>
      </c>
      <c r="N119" t="str">
        <f t="shared" si="12"/>
        <v>John Doe</v>
      </c>
      <c r="O119" t="str">
        <f t="shared" si="13"/>
        <v>Houston</v>
      </c>
      <c r="P119" t="str">
        <f t="shared" si="14"/>
        <v>Amazon Pay</v>
      </c>
      <c r="Q119" t="str">
        <f t="shared" si="15"/>
        <v>Completed</v>
      </c>
      <c r="R119" t="b">
        <f t="shared" si="16"/>
        <v>1</v>
      </c>
      <c r="S119" t="str">
        <f t="shared" si="17"/>
        <v>Feb</v>
      </c>
      <c r="T119" t="str">
        <f t="shared" si="18"/>
        <v>Monday</v>
      </c>
      <c r="U119" t="str">
        <f t="shared" si="19"/>
        <v>Completed</v>
      </c>
    </row>
    <row r="120" spans="1:21" x14ac:dyDescent="0.3">
      <c r="A120" t="s">
        <v>172</v>
      </c>
      <c r="B120" s="1">
        <v>45732</v>
      </c>
      <c r="C120" t="s">
        <v>42</v>
      </c>
      <c r="D120" t="s">
        <v>20</v>
      </c>
      <c r="E120" s="2">
        <v>500</v>
      </c>
      <c r="F120" s="3">
        <v>2</v>
      </c>
      <c r="G120" s="2">
        <v>1000</v>
      </c>
      <c r="H120" t="s">
        <v>72</v>
      </c>
      <c r="I120" t="s">
        <v>81</v>
      </c>
      <c r="J120" t="s">
        <v>39</v>
      </c>
      <c r="K120" t="s">
        <v>23</v>
      </c>
      <c r="L120" t="str">
        <f t="shared" si="10"/>
        <v>Smartphone</v>
      </c>
      <c r="M120" t="str">
        <f t="shared" si="11"/>
        <v>Electronics</v>
      </c>
      <c r="N120" t="str">
        <f t="shared" si="12"/>
        <v>Chris White</v>
      </c>
      <c r="O120" t="str">
        <f t="shared" si="13"/>
        <v>Chicago</v>
      </c>
      <c r="P120" t="str">
        <f t="shared" si="14"/>
        <v>Paypal</v>
      </c>
      <c r="Q120" t="str">
        <f t="shared" si="15"/>
        <v>Pending</v>
      </c>
      <c r="R120" t="b">
        <f t="shared" si="16"/>
        <v>1</v>
      </c>
      <c r="S120" t="str">
        <f t="shared" si="17"/>
        <v>Mar</v>
      </c>
      <c r="T120" t="str">
        <f t="shared" si="18"/>
        <v>Sunday</v>
      </c>
      <c r="U120" t="str">
        <f t="shared" si="19"/>
        <v>Pending</v>
      </c>
    </row>
    <row r="121" spans="1:21" x14ac:dyDescent="0.3">
      <c r="A121" t="s">
        <v>173</v>
      </c>
      <c r="B121" s="1">
        <v>45704</v>
      </c>
      <c r="C121" t="s">
        <v>56</v>
      </c>
      <c r="D121" t="s">
        <v>20</v>
      </c>
      <c r="E121" s="2">
        <v>800</v>
      </c>
      <c r="F121" s="3">
        <v>5</v>
      </c>
      <c r="G121" s="2">
        <v>4000</v>
      </c>
      <c r="H121" t="s">
        <v>21</v>
      </c>
      <c r="I121" t="s">
        <v>26</v>
      </c>
      <c r="J121" t="s">
        <v>39</v>
      </c>
      <c r="K121" t="s">
        <v>40</v>
      </c>
      <c r="L121" t="str">
        <f t="shared" si="10"/>
        <v>Laptop</v>
      </c>
      <c r="M121" t="str">
        <f t="shared" si="11"/>
        <v>Electronics</v>
      </c>
      <c r="N121" t="str">
        <f t="shared" si="12"/>
        <v>Emily Johnson</v>
      </c>
      <c r="O121" t="str">
        <f t="shared" si="13"/>
        <v>Denver</v>
      </c>
      <c r="P121" t="str">
        <f t="shared" si="14"/>
        <v>Paypal</v>
      </c>
      <c r="Q121" t="str">
        <f t="shared" si="15"/>
        <v>Completed</v>
      </c>
      <c r="R121" t="b">
        <f t="shared" si="16"/>
        <v>1</v>
      </c>
      <c r="S121" t="str">
        <f t="shared" si="17"/>
        <v>Feb</v>
      </c>
      <c r="T121" t="str">
        <f t="shared" si="18"/>
        <v>Sunday</v>
      </c>
      <c r="U121" t="str">
        <f t="shared" si="19"/>
        <v>Completed</v>
      </c>
    </row>
    <row r="122" spans="1:21" x14ac:dyDescent="0.3">
      <c r="A122" t="s">
        <v>174</v>
      </c>
      <c r="B122" s="1">
        <v>45706</v>
      </c>
      <c r="C122" t="s">
        <v>42</v>
      </c>
      <c r="D122" t="s">
        <v>20</v>
      </c>
      <c r="E122" s="2">
        <v>500</v>
      </c>
      <c r="F122" s="3">
        <v>1</v>
      </c>
      <c r="G122" s="2">
        <v>500</v>
      </c>
      <c r="H122" t="s">
        <v>25</v>
      </c>
      <c r="I122" t="s">
        <v>30</v>
      </c>
      <c r="J122" t="s">
        <v>58</v>
      </c>
      <c r="K122" t="s">
        <v>23</v>
      </c>
      <c r="L122" t="str">
        <f t="shared" si="10"/>
        <v>Smartphone</v>
      </c>
      <c r="M122" t="str">
        <f t="shared" si="11"/>
        <v>Electronics</v>
      </c>
      <c r="N122" t="str">
        <f t="shared" si="12"/>
        <v>John Doe</v>
      </c>
      <c r="O122" t="str">
        <f t="shared" si="13"/>
        <v>Dallas</v>
      </c>
      <c r="P122" t="str">
        <f t="shared" si="14"/>
        <v>Gift Card</v>
      </c>
      <c r="Q122" t="str">
        <f t="shared" si="15"/>
        <v>Pending</v>
      </c>
      <c r="R122" t="b">
        <f t="shared" si="16"/>
        <v>1</v>
      </c>
      <c r="S122" t="str">
        <f t="shared" si="17"/>
        <v>Feb</v>
      </c>
      <c r="T122" t="str">
        <f t="shared" si="18"/>
        <v>Tuesday</v>
      </c>
      <c r="U122" t="str">
        <f t="shared" si="19"/>
        <v>Pending</v>
      </c>
    </row>
    <row r="123" spans="1:21" x14ac:dyDescent="0.3">
      <c r="A123" t="s">
        <v>175</v>
      </c>
      <c r="B123" s="1">
        <v>45744</v>
      </c>
      <c r="C123" t="s">
        <v>56</v>
      </c>
      <c r="D123" t="s">
        <v>20</v>
      </c>
      <c r="E123" s="2">
        <v>800</v>
      </c>
      <c r="F123" s="3">
        <v>3</v>
      </c>
      <c r="G123" s="2">
        <v>2400</v>
      </c>
      <c r="H123" t="s">
        <v>25</v>
      </c>
      <c r="I123" t="s">
        <v>44</v>
      </c>
      <c r="J123" t="s">
        <v>31</v>
      </c>
      <c r="K123" t="s">
        <v>17</v>
      </c>
      <c r="L123" t="str">
        <f t="shared" si="10"/>
        <v>Laptop</v>
      </c>
      <c r="M123" t="str">
        <f t="shared" si="11"/>
        <v>Electronics</v>
      </c>
      <c r="N123" t="str">
        <f t="shared" si="12"/>
        <v>John Doe</v>
      </c>
      <c r="O123" t="str">
        <f t="shared" si="13"/>
        <v>Miami</v>
      </c>
      <c r="P123" t="str">
        <f t="shared" si="14"/>
        <v>Credit Card</v>
      </c>
      <c r="Q123" t="str">
        <f t="shared" si="15"/>
        <v>Cancelled</v>
      </c>
      <c r="R123" t="b">
        <f t="shared" si="16"/>
        <v>1</v>
      </c>
      <c r="S123" t="str">
        <f t="shared" si="17"/>
        <v>Mar</v>
      </c>
      <c r="T123" t="str">
        <f t="shared" si="18"/>
        <v>Friday</v>
      </c>
      <c r="U123" t="str">
        <f t="shared" si="19"/>
        <v>Cancelled</v>
      </c>
    </row>
    <row r="124" spans="1:21" x14ac:dyDescent="0.3">
      <c r="A124" t="s">
        <v>176</v>
      </c>
      <c r="B124" s="1">
        <v>45711</v>
      </c>
      <c r="C124" t="s">
        <v>49</v>
      </c>
      <c r="D124" t="s">
        <v>50</v>
      </c>
      <c r="E124" s="2">
        <v>15</v>
      </c>
      <c r="F124" s="3">
        <v>3</v>
      </c>
      <c r="G124" s="2">
        <v>45</v>
      </c>
      <c r="H124" t="s">
        <v>72</v>
      </c>
      <c r="I124" t="s">
        <v>46</v>
      </c>
      <c r="J124" t="s">
        <v>58</v>
      </c>
      <c r="K124" t="s">
        <v>17</v>
      </c>
      <c r="L124" t="str">
        <f t="shared" si="10"/>
        <v>Book</v>
      </c>
      <c r="M124" t="str">
        <f t="shared" si="11"/>
        <v>Books</v>
      </c>
      <c r="N124" t="str">
        <f t="shared" si="12"/>
        <v>Chris White</v>
      </c>
      <c r="O124" t="str">
        <f t="shared" si="13"/>
        <v>Boston</v>
      </c>
      <c r="P124" t="str">
        <f t="shared" si="14"/>
        <v>Gift Card</v>
      </c>
      <c r="Q124" t="str">
        <f t="shared" si="15"/>
        <v>Cancelled</v>
      </c>
      <c r="R124" t="b">
        <f t="shared" si="16"/>
        <v>1</v>
      </c>
      <c r="S124" t="str">
        <f t="shared" si="17"/>
        <v>Feb</v>
      </c>
      <c r="T124" t="str">
        <f t="shared" si="18"/>
        <v>Sunday</v>
      </c>
      <c r="U124" t="str">
        <f t="shared" si="19"/>
        <v>Cancelled</v>
      </c>
    </row>
    <row r="125" spans="1:21" x14ac:dyDescent="0.3">
      <c r="A125" t="s">
        <v>177</v>
      </c>
      <c r="B125" s="1">
        <v>45698</v>
      </c>
      <c r="C125" t="s">
        <v>49</v>
      </c>
      <c r="D125" t="s">
        <v>50</v>
      </c>
      <c r="E125" s="2">
        <v>15</v>
      </c>
      <c r="F125" s="3">
        <v>1</v>
      </c>
      <c r="G125" s="2">
        <v>15</v>
      </c>
      <c r="H125" t="s">
        <v>14</v>
      </c>
      <c r="I125" t="s">
        <v>63</v>
      </c>
      <c r="J125" t="s">
        <v>58</v>
      </c>
      <c r="K125" t="s">
        <v>23</v>
      </c>
      <c r="L125" t="str">
        <f t="shared" si="10"/>
        <v>Book</v>
      </c>
      <c r="M125" t="str">
        <f t="shared" si="11"/>
        <v>Books</v>
      </c>
      <c r="N125" t="str">
        <f t="shared" si="12"/>
        <v>Emma Clark</v>
      </c>
      <c r="O125" t="str">
        <f t="shared" si="13"/>
        <v>Seattle</v>
      </c>
      <c r="P125" t="str">
        <f t="shared" si="14"/>
        <v>Gift Card</v>
      </c>
      <c r="Q125" t="str">
        <f t="shared" si="15"/>
        <v>Pending</v>
      </c>
      <c r="R125" t="b">
        <f t="shared" si="16"/>
        <v>1</v>
      </c>
      <c r="S125" t="str">
        <f t="shared" si="17"/>
        <v>Feb</v>
      </c>
      <c r="T125" t="str">
        <f t="shared" si="18"/>
        <v>Monday</v>
      </c>
      <c r="U125" t="str">
        <f t="shared" si="19"/>
        <v>Pending</v>
      </c>
    </row>
    <row r="126" spans="1:21" x14ac:dyDescent="0.3">
      <c r="A126" t="s">
        <v>178</v>
      </c>
      <c r="B126" s="1">
        <v>45711</v>
      </c>
      <c r="C126" t="s">
        <v>42</v>
      </c>
      <c r="D126" t="s">
        <v>20</v>
      </c>
      <c r="E126" s="2">
        <v>500</v>
      </c>
      <c r="F126" s="3">
        <v>1</v>
      </c>
      <c r="G126" s="2">
        <v>500</v>
      </c>
      <c r="H126" t="s">
        <v>21</v>
      </c>
      <c r="I126" t="s">
        <v>26</v>
      </c>
      <c r="J126" t="s">
        <v>27</v>
      </c>
      <c r="K126" t="s">
        <v>40</v>
      </c>
      <c r="L126" t="str">
        <f t="shared" si="10"/>
        <v>Smartphone</v>
      </c>
      <c r="M126" t="str">
        <f t="shared" si="11"/>
        <v>Electronics</v>
      </c>
      <c r="N126" t="str">
        <f t="shared" si="12"/>
        <v>Emily Johnson</v>
      </c>
      <c r="O126" t="str">
        <f t="shared" si="13"/>
        <v>Denver</v>
      </c>
      <c r="P126" t="str">
        <f t="shared" si="14"/>
        <v>Amazon Pay</v>
      </c>
      <c r="Q126" t="str">
        <f t="shared" si="15"/>
        <v>Completed</v>
      </c>
      <c r="R126" t="b">
        <f t="shared" si="16"/>
        <v>1</v>
      </c>
      <c r="S126" t="str">
        <f t="shared" si="17"/>
        <v>Feb</v>
      </c>
      <c r="T126" t="str">
        <f t="shared" si="18"/>
        <v>Sunday</v>
      </c>
      <c r="U126" t="str">
        <f t="shared" si="19"/>
        <v>Completed</v>
      </c>
    </row>
    <row r="127" spans="1:21" x14ac:dyDescent="0.3">
      <c r="A127" t="s">
        <v>179</v>
      </c>
      <c r="B127" s="1">
        <v>45692</v>
      </c>
      <c r="C127" t="s">
        <v>65</v>
      </c>
      <c r="D127" t="s">
        <v>61</v>
      </c>
      <c r="E127" s="2">
        <v>1200</v>
      </c>
      <c r="F127" s="3">
        <v>5</v>
      </c>
      <c r="G127" s="2">
        <v>6000</v>
      </c>
      <c r="H127" t="s">
        <v>29</v>
      </c>
      <c r="I127" t="s">
        <v>81</v>
      </c>
      <c r="J127" t="s">
        <v>58</v>
      </c>
      <c r="K127" t="s">
        <v>23</v>
      </c>
      <c r="L127" t="str">
        <f t="shared" si="10"/>
        <v>Refrigerator</v>
      </c>
      <c r="M127" t="str">
        <f t="shared" si="11"/>
        <v>Home Appliances</v>
      </c>
      <c r="N127" t="str">
        <f t="shared" si="12"/>
        <v>Olivia Wilson</v>
      </c>
      <c r="O127" t="str">
        <f t="shared" si="13"/>
        <v>Chicago</v>
      </c>
      <c r="P127" t="str">
        <f t="shared" si="14"/>
        <v>Gift Card</v>
      </c>
      <c r="Q127" t="str">
        <f t="shared" si="15"/>
        <v>Pending</v>
      </c>
      <c r="R127" t="b">
        <f t="shared" si="16"/>
        <v>1</v>
      </c>
      <c r="S127" t="str">
        <f t="shared" si="17"/>
        <v>Feb</v>
      </c>
      <c r="T127" t="str">
        <f t="shared" si="18"/>
        <v>Tuesday</v>
      </c>
      <c r="U127" t="str">
        <f t="shared" si="19"/>
        <v>Pending</v>
      </c>
    </row>
    <row r="128" spans="1:21" x14ac:dyDescent="0.3">
      <c r="A128" t="s">
        <v>180</v>
      </c>
      <c r="B128" s="1">
        <v>45706</v>
      </c>
      <c r="C128" t="s">
        <v>35</v>
      </c>
      <c r="D128" t="s">
        <v>36</v>
      </c>
      <c r="E128" s="2">
        <v>20</v>
      </c>
      <c r="F128" s="3">
        <v>3</v>
      </c>
      <c r="G128" s="2">
        <v>60</v>
      </c>
      <c r="H128" t="s">
        <v>14</v>
      </c>
      <c r="I128" t="s">
        <v>30</v>
      </c>
      <c r="J128" t="s">
        <v>16</v>
      </c>
      <c r="K128" t="s">
        <v>40</v>
      </c>
      <c r="L128" t="str">
        <f t="shared" si="10"/>
        <v>T-Shirt</v>
      </c>
      <c r="M128" t="str">
        <f t="shared" si="11"/>
        <v>Clothing</v>
      </c>
      <c r="N128" t="str">
        <f t="shared" si="12"/>
        <v>Emma Clark</v>
      </c>
      <c r="O128" t="str">
        <f t="shared" si="13"/>
        <v>Dallas</v>
      </c>
      <c r="P128" t="str">
        <f t="shared" si="14"/>
        <v>Debit Card</v>
      </c>
      <c r="Q128" t="str">
        <f t="shared" si="15"/>
        <v>Completed</v>
      </c>
      <c r="R128" t="b">
        <f t="shared" si="16"/>
        <v>1</v>
      </c>
      <c r="S128" t="str">
        <f t="shared" si="17"/>
        <v>Feb</v>
      </c>
      <c r="T128" t="str">
        <f t="shared" si="18"/>
        <v>Tuesday</v>
      </c>
      <c r="U128" t="str">
        <f t="shared" si="19"/>
        <v>Completed</v>
      </c>
    </row>
    <row r="129" spans="1:21" x14ac:dyDescent="0.3">
      <c r="A129" t="s">
        <v>181</v>
      </c>
      <c r="B129" s="1">
        <v>45739</v>
      </c>
      <c r="C129" t="s">
        <v>33</v>
      </c>
      <c r="D129" t="s">
        <v>20</v>
      </c>
      <c r="E129" s="2">
        <v>150</v>
      </c>
      <c r="F129" s="3">
        <v>2</v>
      </c>
      <c r="G129" s="2">
        <v>300</v>
      </c>
      <c r="H129" t="s">
        <v>21</v>
      </c>
      <c r="I129" t="s">
        <v>30</v>
      </c>
      <c r="J129" t="s">
        <v>39</v>
      </c>
      <c r="K129" t="s">
        <v>17</v>
      </c>
      <c r="L129" t="str">
        <f t="shared" si="10"/>
        <v>Smartwatch</v>
      </c>
      <c r="M129" t="str">
        <f t="shared" si="11"/>
        <v>Electronics</v>
      </c>
      <c r="N129" t="str">
        <f t="shared" si="12"/>
        <v>Emily Johnson</v>
      </c>
      <c r="O129" t="str">
        <f t="shared" si="13"/>
        <v>Dallas</v>
      </c>
      <c r="P129" t="str">
        <f t="shared" si="14"/>
        <v>Paypal</v>
      </c>
      <c r="Q129" t="str">
        <f t="shared" si="15"/>
        <v>Cancelled</v>
      </c>
      <c r="R129" t="b">
        <f t="shared" si="16"/>
        <v>1</v>
      </c>
      <c r="S129" t="str">
        <f t="shared" si="17"/>
        <v>Mar</v>
      </c>
      <c r="T129" t="str">
        <f t="shared" si="18"/>
        <v>Sunday</v>
      </c>
      <c r="U129" t="str">
        <f t="shared" si="19"/>
        <v>Cancelled</v>
      </c>
    </row>
    <row r="130" spans="1:21" x14ac:dyDescent="0.3">
      <c r="A130" t="s">
        <v>182</v>
      </c>
      <c r="B130" s="1">
        <v>45714</v>
      </c>
      <c r="C130" t="s">
        <v>53</v>
      </c>
      <c r="D130" t="s">
        <v>36</v>
      </c>
      <c r="E130" s="2">
        <v>40</v>
      </c>
      <c r="F130" s="3">
        <v>5</v>
      </c>
      <c r="G130" s="2">
        <v>200</v>
      </c>
      <c r="H130" t="s">
        <v>21</v>
      </c>
      <c r="I130" t="s">
        <v>15</v>
      </c>
      <c r="J130" t="s">
        <v>16</v>
      </c>
      <c r="K130" t="s">
        <v>23</v>
      </c>
      <c r="L130" t="str">
        <f t="shared" si="10"/>
        <v>Jeans</v>
      </c>
      <c r="M130" t="str">
        <f t="shared" si="11"/>
        <v>Clothing</v>
      </c>
      <c r="N130" t="str">
        <f t="shared" si="12"/>
        <v>Emily Johnson</v>
      </c>
      <c r="O130" t="str">
        <f t="shared" si="13"/>
        <v>New York</v>
      </c>
      <c r="P130" t="str">
        <f t="shared" si="14"/>
        <v>Debit Card</v>
      </c>
      <c r="Q130" t="str">
        <f t="shared" si="15"/>
        <v>Pending</v>
      </c>
      <c r="R130" t="b">
        <f t="shared" si="16"/>
        <v>1</v>
      </c>
      <c r="S130" t="str">
        <f t="shared" si="17"/>
        <v>Feb</v>
      </c>
      <c r="T130" t="str">
        <f t="shared" si="18"/>
        <v>Wednesday</v>
      </c>
      <c r="U130" t="str">
        <f t="shared" si="19"/>
        <v>Pending</v>
      </c>
    </row>
    <row r="131" spans="1:21" x14ac:dyDescent="0.3">
      <c r="A131" t="s">
        <v>183</v>
      </c>
      <c r="B131" s="1">
        <v>45698</v>
      </c>
      <c r="C131" t="s">
        <v>33</v>
      </c>
      <c r="D131" t="s">
        <v>20</v>
      </c>
      <c r="E131" s="2">
        <v>150</v>
      </c>
      <c r="F131" s="3">
        <v>5</v>
      </c>
      <c r="G131" s="2">
        <v>750</v>
      </c>
      <c r="H131" t="s">
        <v>51</v>
      </c>
      <c r="I131" t="s">
        <v>46</v>
      </c>
      <c r="J131" t="s">
        <v>39</v>
      </c>
      <c r="K131" t="s">
        <v>40</v>
      </c>
      <c r="L131" t="str">
        <f t="shared" ref="L131:L194" si="20">PROPER(TRIM(C131))</f>
        <v>Smartwatch</v>
      </c>
      <c r="M131" t="str">
        <f t="shared" ref="M131:M194" si="21">PROPER(TRIM(D131))</f>
        <v>Electronics</v>
      </c>
      <c r="N131" t="str">
        <f t="shared" ref="N131:N194" si="22">PROPER(TRIM(H131))</f>
        <v>David Lee</v>
      </c>
      <c r="O131" t="str">
        <f t="shared" ref="O131:O194" si="23">PROPER(TRIM(I131))</f>
        <v>Boston</v>
      </c>
      <c r="P131" t="str">
        <f t="shared" ref="P131:P194" si="24">PROPER(TRIM(J131))</f>
        <v>Paypal</v>
      </c>
      <c r="Q131" t="str">
        <f t="shared" ref="Q131:Q194" si="25">PROPER(TRIM(K131))</f>
        <v>Completed</v>
      </c>
      <c r="R131" t="b">
        <f t="shared" ref="R131:R194" si="26">E131*F131=G131</f>
        <v>1</v>
      </c>
      <c r="S131" t="str">
        <f t="shared" ref="S131:S194" si="27">TEXT(B131,"MMM")</f>
        <v>Feb</v>
      </c>
      <c r="T131" t="str">
        <f t="shared" ref="T131:T194" si="28">TEXT(B131,"dddd")</f>
        <v>Monday</v>
      </c>
      <c r="U131" t="str">
        <f t="shared" ref="U131:U194" si="29">Q131</f>
        <v>Completed</v>
      </c>
    </row>
    <row r="132" spans="1:21" x14ac:dyDescent="0.3">
      <c r="A132" t="s">
        <v>184</v>
      </c>
      <c r="B132" s="1">
        <v>45714</v>
      </c>
      <c r="C132" t="s">
        <v>53</v>
      </c>
      <c r="D132" t="s">
        <v>36</v>
      </c>
      <c r="E132" s="2">
        <v>40</v>
      </c>
      <c r="F132" s="3">
        <v>2</v>
      </c>
      <c r="G132" s="2">
        <v>80</v>
      </c>
      <c r="H132" t="s">
        <v>57</v>
      </c>
      <c r="I132" t="s">
        <v>81</v>
      </c>
      <c r="J132" t="s">
        <v>31</v>
      </c>
      <c r="K132" t="s">
        <v>23</v>
      </c>
      <c r="L132" t="str">
        <f t="shared" si="20"/>
        <v>Jeans</v>
      </c>
      <c r="M132" t="str">
        <f t="shared" si="21"/>
        <v>Clothing</v>
      </c>
      <c r="N132" t="str">
        <f t="shared" si="22"/>
        <v>Daniel Harris</v>
      </c>
      <c r="O132" t="str">
        <f t="shared" si="23"/>
        <v>Chicago</v>
      </c>
      <c r="P132" t="str">
        <f t="shared" si="24"/>
        <v>Credit Card</v>
      </c>
      <c r="Q132" t="str">
        <f t="shared" si="25"/>
        <v>Pending</v>
      </c>
      <c r="R132" t="b">
        <f t="shared" si="26"/>
        <v>1</v>
      </c>
      <c r="S132" t="str">
        <f t="shared" si="27"/>
        <v>Feb</v>
      </c>
      <c r="T132" t="str">
        <f t="shared" si="28"/>
        <v>Wednesday</v>
      </c>
      <c r="U132" t="str">
        <f t="shared" si="29"/>
        <v>Pending</v>
      </c>
    </row>
    <row r="133" spans="1:21" x14ac:dyDescent="0.3">
      <c r="A133" t="s">
        <v>185</v>
      </c>
      <c r="B133" s="1">
        <v>45723</v>
      </c>
      <c r="C133" t="s">
        <v>42</v>
      </c>
      <c r="D133" t="s">
        <v>20</v>
      </c>
      <c r="E133" s="2">
        <v>500</v>
      </c>
      <c r="F133" s="3">
        <v>2</v>
      </c>
      <c r="G133" s="2">
        <v>1000</v>
      </c>
      <c r="H133" t="s">
        <v>29</v>
      </c>
      <c r="I133" t="s">
        <v>81</v>
      </c>
      <c r="J133" t="s">
        <v>16</v>
      </c>
      <c r="K133" t="s">
        <v>23</v>
      </c>
      <c r="L133" t="str">
        <f t="shared" si="20"/>
        <v>Smartphone</v>
      </c>
      <c r="M133" t="str">
        <f t="shared" si="21"/>
        <v>Electronics</v>
      </c>
      <c r="N133" t="str">
        <f t="shared" si="22"/>
        <v>Olivia Wilson</v>
      </c>
      <c r="O133" t="str">
        <f t="shared" si="23"/>
        <v>Chicago</v>
      </c>
      <c r="P133" t="str">
        <f t="shared" si="24"/>
        <v>Debit Card</v>
      </c>
      <c r="Q133" t="str">
        <f t="shared" si="25"/>
        <v>Pending</v>
      </c>
      <c r="R133" t="b">
        <f t="shared" si="26"/>
        <v>1</v>
      </c>
      <c r="S133" t="str">
        <f t="shared" si="27"/>
        <v>Mar</v>
      </c>
      <c r="T133" t="str">
        <f t="shared" si="28"/>
        <v>Friday</v>
      </c>
      <c r="U133" t="str">
        <f t="shared" si="29"/>
        <v>Pending</v>
      </c>
    </row>
    <row r="134" spans="1:21" x14ac:dyDescent="0.3">
      <c r="A134" t="s">
        <v>186</v>
      </c>
      <c r="B134" s="1">
        <v>45711</v>
      </c>
      <c r="C134" t="s">
        <v>56</v>
      </c>
      <c r="D134" t="s">
        <v>20</v>
      </c>
      <c r="E134" s="2">
        <v>800</v>
      </c>
      <c r="F134" s="3">
        <v>1</v>
      </c>
      <c r="G134" s="2">
        <v>800</v>
      </c>
      <c r="H134" t="s">
        <v>21</v>
      </c>
      <c r="I134" t="s">
        <v>15</v>
      </c>
      <c r="J134" t="s">
        <v>27</v>
      </c>
      <c r="K134" t="s">
        <v>23</v>
      </c>
      <c r="L134" t="str">
        <f t="shared" si="20"/>
        <v>Laptop</v>
      </c>
      <c r="M134" t="str">
        <f t="shared" si="21"/>
        <v>Electronics</v>
      </c>
      <c r="N134" t="str">
        <f t="shared" si="22"/>
        <v>Emily Johnson</v>
      </c>
      <c r="O134" t="str">
        <f t="shared" si="23"/>
        <v>New York</v>
      </c>
      <c r="P134" t="str">
        <f t="shared" si="24"/>
        <v>Amazon Pay</v>
      </c>
      <c r="Q134" t="str">
        <f t="shared" si="25"/>
        <v>Pending</v>
      </c>
      <c r="R134" t="b">
        <f t="shared" si="26"/>
        <v>1</v>
      </c>
      <c r="S134" t="str">
        <f t="shared" si="27"/>
        <v>Feb</v>
      </c>
      <c r="T134" t="str">
        <f t="shared" si="28"/>
        <v>Sunday</v>
      </c>
      <c r="U134" t="str">
        <f t="shared" si="29"/>
        <v>Pending</v>
      </c>
    </row>
    <row r="135" spans="1:21" x14ac:dyDescent="0.3">
      <c r="A135" t="s">
        <v>187</v>
      </c>
      <c r="B135" s="1">
        <v>45695</v>
      </c>
      <c r="C135" t="s">
        <v>42</v>
      </c>
      <c r="D135" t="s">
        <v>20</v>
      </c>
      <c r="E135" s="2">
        <v>500</v>
      </c>
      <c r="F135" s="3">
        <v>5</v>
      </c>
      <c r="G135" s="2">
        <v>2500</v>
      </c>
      <c r="H135" t="s">
        <v>51</v>
      </c>
      <c r="I135" t="s">
        <v>81</v>
      </c>
      <c r="J135" t="s">
        <v>58</v>
      </c>
      <c r="K135" t="s">
        <v>23</v>
      </c>
      <c r="L135" t="str">
        <f t="shared" si="20"/>
        <v>Smartphone</v>
      </c>
      <c r="M135" t="str">
        <f t="shared" si="21"/>
        <v>Electronics</v>
      </c>
      <c r="N135" t="str">
        <f t="shared" si="22"/>
        <v>David Lee</v>
      </c>
      <c r="O135" t="str">
        <f t="shared" si="23"/>
        <v>Chicago</v>
      </c>
      <c r="P135" t="str">
        <f t="shared" si="24"/>
        <v>Gift Card</v>
      </c>
      <c r="Q135" t="str">
        <f t="shared" si="25"/>
        <v>Pending</v>
      </c>
      <c r="R135" t="b">
        <f t="shared" si="26"/>
        <v>1</v>
      </c>
      <c r="S135" t="str">
        <f t="shared" si="27"/>
        <v>Feb</v>
      </c>
      <c r="T135" t="str">
        <f t="shared" si="28"/>
        <v>Friday</v>
      </c>
      <c r="U135" t="str">
        <f t="shared" si="29"/>
        <v>Pending</v>
      </c>
    </row>
    <row r="136" spans="1:21" x14ac:dyDescent="0.3">
      <c r="A136" t="s">
        <v>188</v>
      </c>
      <c r="B136" s="1">
        <v>45698</v>
      </c>
      <c r="C136" t="s">
        <v>35</v>
      </c>
      <c r="D136" t="s">
        <v>36</v>
      </c>
      <c r="E136" s="2">
        <v>20</v>
      </c>
      <c r="F136" s="3">
        <v>1</v>
      </c>
      <c r="G136" s="2">
        <v>20</v>
      </c>
      <c r="H136" t="s">
        <v>29</v>
      </c>
      <c r="I136" t="s">
        <v>44</v>
      </c>
      <c r="J136" t="s">
        <v>31</v>
      </c>
      <c r="K136" t="s">
        <v>23</v>
      </c>
      <c r="L136" t="str">
        <f t="shared" si="20"/>
        <v>T-Shirt</v>
      </c>
      <c r="M136" t="str">
        <f t="shared" si="21"/>
        <v>Clothing</v>
      </c>
      <c r="N136" t="str">
        <f t="shared" si="22"/>
        <v>Olivia Wilson</v>
      </c>
      <c r="O136" t="str">
        <f t="shared" si="23"/>
        <v>Miami</v>
      </c>
      <c r="P136" t="str">
        <f t="shared" si="24"/>
        <v>Credit Card</v>
      </c>
      <c r="Q136" t="str">
        <f t="shared" si="25"/>
        <v>Pending</v>
      </c>
      <c r="R136" t="b">
        <f t="shared" si="26"/>
        <v>1</v>
      </c>
      <c r="S136" t="str">
        <f t="shared" si="27"/>
        <v>Feb</v>
      </c>
      <c r="T136" t="str">
        <f t="shared" si="28"/>
        <v>Monday</v>
      </c>
      <c r="U136" t="str">
        <f t="shared" si="29"/>
        <v>Pending</v>
      </c>
    </row>
    <row r="137" spans="1:21" x14ac:dyDescent="0.3">
      <c r="A137" t="s">
        <v>189</v>
      </c>
      <c r="B137" s="1">
        <v>45699</v>
      </c>
      <c r="C137" t="s">
        <v>65</v>
      </c>
      <c r="D137" t="s">
        <v>61</v>
      </c>
      <c r="E137" s="2">
        <v>1200</v>
      </c>
      <c r="F137" s="3">
        <v>2</v>
      </c>
      <c r="G137" s="2">
        <v>2400</v>
      </c>
      <c r="H137" t="s">
        <v>57</v>
      </c>
      <c r="I137" t="s">
        <v>22</v>
      </c>
      <c r="J137" t="s">
        <v>39</v>
      </c>
      <c r="K137" t="s">
        <v>17</v>
      </c>
      <c r="L137" t="str">
        <f t="shared" si="20"/>
        <v>Refrigerator</v>
      </c>
      <c r="M137" t="str">
        <f t="shared" si="21"/>
        <v>Home Appliances</v>
      </c>
      <c r="N137" t="str">
        <f t="shared" si="22"/>
        <v>Daniel Harris</v>
      </c>
      <c r="O137" t="str">
        <f t="shared" si="23"/>
        <v>San Francisco</v>
      </c>
      <c r="P137" t="str">
        <f t="shared" si="24"/>
        <v>Paypal</v>
      </c>
      <c r="Q137" t="str">
        <f t="shared" si="25"/>
        <v>Cancelled</v>
      </c>
      <c r="R137" t="b">
        <f t="shared" si="26"/>
        <v>1</v>
      </c>
      <c r="S137" t="str">
        <f t="shared" si="27"/>
        <v>Feb</v>
      </c>
      <c r="T137" t="str">
        <f t="shared" si="28"/>
        <v>Tuesday</v>
      </c>
      <c r="U137" t="str">
        <f t="shared" si="29"/>
        <v>Cancelled</v>
      </c>
    </row>
    <row r="138" spans="1:21" x14ac:dyDescent="0.3">
      <c r="A138" t="s">
        <v>190</v>
      </c>
      <c r="B138" s="1">
        <v>45736</v>
      </c>
      <c r="C138" t="s">
        <v>33</v>
      </c>
      <c r="D138" t="s">
        <v>20</v>
      </c>
      <c r="E138" s="2">
        <v>150</v>
      </c>
      <c r="F138" s="3">
        <v>3</v>
      </c>
      <c r="G138" s="2">
        <v>450</v>
      </c>
      <c r="H138" t="s">
        <v>43</v>
      </c>
      <c r="I138" t="s">
        <v>22</v>
      </c>
      <c r="J138" t="s">
        <v>16</v>
      </c>
      <c r="K138" t="s">
        <v>40</v>
      </c>
      <c r="L138" t="str">
        <f t="shared" si="20"/>
        <v>Smartwatch</v>
      </c>
      <c r="M138" t="str">
        <f t="shared" si="21"/>
        <v>Electronics</v>
      </c>
      <c r="N138" t="str">
        <f t="shared" si="22"/>
        <v>Sophia Miller</v>
      </c>
      <c r="O138" t="str">
        <f t="shared" si="23"/>
        <v>San Francisco</v>
      </c>
      <c r="P138" t="str">
        <f t="shared" si="24"/>
        <v>Debit Card</v>
      </c>
      <c r="Q138" t="str">
        <f t="shared" si="25"/>
        <v>Completed</v>
      </c>
      <c r="R138" t="b">
        <f t="shared" si="26"/>
        <v>1</v>
      </c>
      <c r="S138" t="str">
        <f t="shared" si="27"/>
        <v>Mar</v>
      </c>
      <c r="T138" t="str">
        <f t="shared" si="28"/>
        <v>Thursday</v>
      </c>
      <c r="U138" t="str">
        <f t="shared" si="29"/>
        <v>Completed</v>
      </c>
    </row>
    <row r="139" spans="1:21" x14ac:dyDescent="0.3">
      <c r="A139" t="s">
        <v>191</v>
      </c>
      <c r="B139" s="1">
        <v>45699</v>
      </c>
      <c r="C139" t="s">
        <v>33</v>
      </c>
      <c r="D139" t="s">
        <v>20</v>
      </c>
      <c r="E139" s="2">
        <v>150</v>
      </c>
      <c r="F139" s="3">
        <v>5</v>
      </c>
      <c r="G139" s="2">
        <v>750</v>
      </c>
      <c r="H139" t="s">
        <v>25</v>
      </c>
      <c r="I139" t="s">
        <v>68</v>
      </c>
      <c r="J139" t="s">
        <v>31</v>
      </c>
      <c r="K139" t="s">
        <v>17</v>
      </c>
      <c r="L139" t="str">
        <f t="shared" si="20"/>
        <v>Smartwatch</v>
      </c>
      <c r="M139" t="str">
        <f t="shared" si="21"/>
        <v>Electronics</v>
      </c>
      <c r="N139" t="str">
        <f t="shared" si="22"/>
        <v>John Doe</v>
      </c>
      <c r="O139" t="str">
        <f t="shared" si="23"/>
        <v>Los Angeles</v>
      </c>
      <c r="P139" t="str">
        <f t="shared" si="24"/>
        <v>Credit Card</v>
      </c>
      <c r="Q139" t="str">
        <f t="shared" si="25"/>
        <v>Cancelled</v>
      </c>
      <c r="R139" t="b">
        <f t="shared" si="26"/>
        <v>1</v>
      </c>
      <c r="S139" t="str">
        <f t="shared" si="27"/>
        <v>Feb</v>
      </c>
      <c r="T139" t="str">
        <f t="shared" si="28"/>
        <v>Tuesday</v>
      </c>
      <c r="U139" t="str">
        <f t="shared" si="29"/>
        <v>Cancelled</v>
      </c>
    </row>
    <row r="140" spans="1:21" x14ac:dyDescent="0.3">
      <c r="A140" t="s">
        <v>192</v>
      </c>
      <c r="B140" s="1">
        <v>45734</v>
      </c>
      <c r="C140" t="s">
        <v>56</v>
      </c>
      <c r="D140" t="s">
        <v>20</v>
      </c>
      <c r="E140" s="2">
        <v>800</v>
      </c>
      <c r="F140" s="3">
        <v>2</v>
      </c>
      <c r="G140" s="2">
        <v>1600</v>
      </c>
      <c r="H140" t="s">
        <v>54</v>
      </c>
      <c r="I140" t="s">
        <v>26</v>
      </c>
      <c r="J140" t="s">
        <v>39</v>
      </c>
      <c r="K140" t="s">
        <v>17</v>
      </c>
      <c r="L140" t="str">
        <f t="shared" si="20"/>
        <v>Laptop</v>
      </c>
      <c r="M140" t="str">
        <f t="shared" si="21"/>
        <v>Electronics</v>
      </c>
      <c r="N140" t="str">
        <f t="shared" si="22"/>
        <v>Michael Brown</v>
      </c>
      <c r="O140" t="str">
        <f t="shared" si="23"/>
        <v>Denver</v>
      </c>
      <c r="P140" t="str">
        <f t="shared" si="24"/>
        <v>Paypal</v>
      </c>
      <c r="Q140" t="str">
        <f t="shared" si="25"/>
        <v>Cancelled</v>
      </c>
      <c r="R140" t="b">
        <f t="shared" si="26"/>
        <v>1</v>
      </c>
      <c r="S140" t="str">
        <f t="shared" si="27"/>
        <v>Mar</v>
      </c>
      <c r="T140" t="str">
        <f t="shared" si="28"/>
        <v>Tuesday</v>
      </c>
      <c r="U140" t="str">
        <f t="shared" si="29"/>
        <v>Cancelled</v>
      </c>
    </row>
    <row r="141" spans="1:21" x14ac:dyDescent="0.3">
      <c r="A141" t="s">
        <v>193</v>
      </c>
      <c r="B141" s="1">
        <v>45735</v>
      </c>
      <c r="C141" t="s">
        <v>33</v>
      </c>
      <c r="D141" t="s">
        <v>20</v>
      </c>
      <c r="E141" s="2">
        <v>150</v>
      </c>
      <c r="F141" s="3">
        <v>2</v>
      </c>
      <c r="G141" s="2">
        <v>300</v>
      </c>
      <c r="H141" t="s">
        <v>29</v>
      </c>
      <c r="I141" t="s">
        <v>44</v>
      </c>
      <c r="J141" t="s">
        <v>16</v>
      </c>
      <c r="K141" t="s">
        <v>40</v>
      </c>
      <c r="L141" t="str">
        <f t="shared" si="20"/>
        <v>Smartwatch</v>
      </c>
      <c r="M141" t="str">
        <f t="shared" si="21"/>
        <v>Electronics</v>
      </c>
      <c r="N141" t="str">
        <f t="shared" si="22"/>
        <v>Olivia Wilson</v>
      </c>
      <c r="O141" t="str">
        <f t="shared" si="23"/>
        <v>Miami</v>
      </c>
      <c r="P141" t="str">
        <f t="shared" si="24"/>
        <v>Debit Card</v>
      </c>
      <c r="Q141" t="str">
        <f t="shared" si="25"/>
        <v>Completed</v>
      </c>
      <c r="R141" t="b">
        <f t="shared" si="26"/>
        <v>1</v>
      </c>
      <c r="S141" t="str">
        <f t="shared" si="27"/>
        <v>Mar</v>
      </c>
      <c r="T141" t="str">
        <f t="shared" si="28"/>
        <v>Wednesday</v>
      </c>
      <c r="U141" t="str">
        <f t="shared" si="29"/>
        <v>Completed</v>
      </c>
    </row>
    <row r="142" spans="1:21" x14ac:dyDescent="0.3">
      <c r="A142" t="s">
        <v>194</v>
      </c>
      <c r="B142" s="1">
        <v>45737</v>
      </c>
      <c r="C142" t="s">
        <v>42</v>
      </c>
      <c r="D142" t="s">
        <v>20</v>
      </c>
      <c r="E142" s="2">
        <v>500</v>
      </c>
      <c r="F142" s="3">
        <v>2</v>
      </c>
      <c r="G142" s="2">
        <v>1000</v>
      </c>
      <c r="H142" t="s">
        <v>25</v>
      </c>
      <c r="I142" t="s">
        <v>44</v>
      </c>
      <c r="J142" t="s">
        <v>39</v>
      </c>
      <c r="K142" t="s">
        <v>40</v>
      </c>
      <c r="L142" t="str">
        <f t="shared" si="20"/>
        <v>Smartphone</v>
      </c>
      <c r="M142" t="str">
        <f t="shared" si="21"/>
        <v>Electronics</v>
      </c>
      <c r="N142" t="str">
        <f t="shared" si="22"/>
        <v>John Doe</v>
      </c>
      <c r="O142" t="str">
        <f t="shared" si="23"/>
        <v>Miami</v>
      </c>
      <c r="P142" t="str">
        <f t="shared" si="24"/>
        <v>Paypal</v>
      </c>
      <c r="Q142" t="str">
        <f t="shared" si="25"/>
        <v>Completed</v>
      </c>
      <c r="R142" t="b">
        <f t="shared" si="26"/>
        <v>1</v>
      </c>
      <c r="S142" t="str">
        <f t="shared" si="27"/>
        <v>Mar</v>
      </c>
      <c r="T142" t="str">
        <f t="shared" si="28"/>
        <v>Friday</v>
      </c>
      <c r="U142" t="str">
        <f t="shared" si="29"/>
        <v>Completed</v>
      </c>
    </row>
    <row r="143" spans="1:21" x14ac:dyDescent="0.3">
      <c r="A143" t="s">
        <v>195</v>
      </c>
      <c r="B143" s="1">
        <v>45731</v>
      </c>
      <c r="C143" t="s">
        <v>42</v>
      </c>
      <c r="D143" t="s">
        <v>20</v>
      </c>
      <c r="E143" s="2">
        <v>500</v>
      </c>
      <c r="F143" s="3">
        <v>3</v>
      </c>
      <c r="G143" s="2">
        <v>1500</v>
      </c>
      <c r="H143" t="s">
        <v>43</v>
      </c>
      <c r="I143" t="s">
        <v>44</v>
      </c>
      <c r="J143" t="s">
        <v>58</v>
      </c>
      <c r="K143" t="s">
        <v>40</v>
      </c>
      <c r="L143" t="str">
        <f t="shared" si="20"/>
        <v>Smartphone</v>
      </c>
      <c r="M143" t="str">
        <f t="shared" si="21"/>
        <v>Electronics</v>
      </c>
      <c r="N143" t="str">
        <f t="shared" si="22"/>
        <v>Sophia Miller</v>
      </c>
      <c r="O143" t="str">
        <f t="shared" si="23"/>
        <v>Miami</v>
      </c>
      <c r="P143" t="str">
        <f t="shared" si="24"/>
        <v>Gift Card</v>
      </c>
      <c r="Q143" t="str">
        <f t="shared" si="25"/>
        <v>Completed</v>
      </c>
      <c r="R143" t="b">
        <f t="shared" si="26"/>
        <v>1</v>
      </c>
      <c r="S143" t="str">
        <f t="shared" si="27"/>
        <v>Mar</v>
      </c>
      <c r="T143" t="str">
        <f t="shared" si="28"/>
        <v>Saturday</v>
      </c>
      <c r="U143" t="str">
        <f t="shared" si="29"/>
        <v>Completed</v>
      </c>
    </row>
    <row r="144" spans="1:21" x14ac:dyDescent="0.3">
      <c r="A144" t="s">
        <v>196</v>
      </c>
      <c r="B144" s="1">
        <v>45747</v>
      </c>
      <c r="C144" t="s">
        <v>65</v>
      </c>
      <c r="D144" t="s">
        <v>61</v>
      </c>
      <c r="E144" s="2">
        <v>1200</v>
      </c>
      <c r="F144" s="3">
        <v>2</v>
      </c>
      <c r="G144" s="2">
        <v>2400</v>
      </c>
      <c r="H144" t="s">
        <v>80</v>
      </c>
      <c r="I144" t="s">
        <v>30</v>
      </c>
      <c r="J144" t="s">
        <v>39</v>
      </c>
      <c r="K144" t="s">
        <v>17</v>
      </c>
      <c r="L144" t="str">
        <f t="shared" si="20"/>
        <v>Refrigerator</v>
      </c>
      <c r="M144" t="str">
        <f t="shared" si="21"/>
        <v>Home Appliances</v>
      </c>
      <c r="N144" t="str">
        <f t="shared" si="22"/>
        <v>Jane Smith</v>
      </c>
      <c r="O144" t="str">
        <f t="shared" si="23"/>
        <v>Dallas</v>
      </c>
      <c r="P144" t="str">
        <f t="shared" si="24"/>
        <v>Paypal</v>
      </c>
      <c r="Q144" t="str">
        <f t="shared" si="25"/>
        <v>Cancelled</v>
      </c>
      <c r="R144" t="b">
        <f t="shared" si="26"/>
        <v>1</v>
      </c>
      <c r="S144" t="str">
        <f t="shared" si="27"/>
        <v>Mar</v>
      </c>
      <c r="T144" t="str">
        <f t="shared" si="28"/>
        <v>Monday</v>
      </c>
      <c r="U144" t="str">
        <f t="shared" si="29"/>
        <v>Cancelled</v>
      </c>
    </row>
    <row r="145" spans="1:21" x14ac:dyDescent="0.3">
      <c r="A145" t="s">
        <v>197</v>
      </c>
      <c r="B145" s="1">
        <v>45715</v>
      </c>
      <c r="C145" t="s">
        <v>53</v>
      </c>
      <c r="D145" t="s">
        <v>36</v>
      </c>
      <c r="E145" s="2">
        <v>40</v>
      </c>
      <c r="F145" s="3">
        <v>2</v>
      </c>
      <c r="G145" s="2">
        <v>80</v>
      </c>
      <c r="H145" t="s">
        <v>54</v>
      </c>
      <c r="I145" t="s">
        <v>68</v>
      </c>
      <c r="J145" t="s">
        <v>58</v>
      </c>
      <c r="K145" t="s">
        <v>17</v>
      </c>
      <c r="L145" t="str">
        <f t="shared" si="20"/>
        <v>Jeans</v>
      </c>
      <c r="M145" t="str">
        <f t="shared" si="21"/>
        <v>Clothing</v>
      </c>
      <c r="N145" t="str">
        <f t="shared" si="22"/>
        <v>Michael Brown</v>
      </c>
      <c r="O145" t="str">
        <f t="shared" si="23"/>
        <v>Los Angeles</v>
      </c>
      <c r="P145" t="str">
        <f t="shared" si="24"/>
        <v>Gift Card</v>
      </c>
      <c r="Q145" t="str">
        <f t="shared" si="25"/>
        <v>Cancelled</v>
      </c>
      <c r="R145" t="b">
        <f t="shared" si="26"/>
        <v>1</v>
      </c>
      <c r="S145" t="str">
        <f t="shared" si="27"/>
        <v>Feb</v>
      </c>
      <c r="T145" t="str">
        <f t="shared" si="28"/>
        <v>Thursday</v>
      </c>
      <c r="U145" t="str">
        <f t="shared" si="29"/>
        <v>Cancelled</v>
      </c>
    </row>
    <row r="146" spans="1:21" x14ac:dyDescent="0.3">
      <c r="A146" t="s">
        <v>198</v>
      </c>
      <c r="B146" s="1">
        <v>45724</v>
      </c>
      <c r="C146" t="s">
        <v>33</v>
      </c>
      <c r="D146" t="s">
        <v>20</v>
      </c>
      <c r="E146" s="2">
        <v>150</v>
      </c>
      <c r="F146" s="3">
        <v>2</v>
      </c>
      <c r="G146" s="2">
        <v>300</v>
      </c>
      <c r="H146" t="s">
        <v>54</v>
      </c>
      <c r="I146" t="s">
        <v>63</v>
      </c>
      <c r="J146" t="s">
        <v>16</v>
      </c>
      <c r="K146" t="s">
        <v>17</v>
      </c>
      <c r="L146" t="str">
        <f t="shared" si="20"/>
        <v>Smartwatch</v>
      </c>
      <c r="M146" t="str">
        <f t="shared" si="21"/>
        <v>Electronics</v>
      </c>
      <c r="N146" t="str">
        <f t="shared" si="22"/>
        <v>Michael Brown</v>
      </c>
      <c r="O146" t="str">
        <f t="shared" si="23"/>
        <v>Seattle</v>
      </c>
      <c r="P146" t="str">
        <f t="shared" si="24"/>
        <v>Debit Card</v>
      </c>
      <c r="Q146" t="str">
        <f t="shared" si="25"/>
        <v>Cancelled</v>
      </c>
      <c r="R146" t="b">
        <f t="shared" si="26"/>
        <v>1</v>
      </c>
      <c r="S146" t="str">
        <f t="shared" si="27"/>
        <v>Mar</v>
      </c>
      <c r="T146" t="str">
        <f t="shared" si="28"/>
        <v>Saturday</v>
      </c>
      <c r="U146" t="str">
        <f t="shared" si="29"/>
        <v>Cancelled</v>
      </c>
    </row>
    <row r="147" spans="1:21" x14ac:dyDescent="0.3">
      <c r="A147" t="s">
        <v>199</v>
      </c>
      <c r="B147" s="1">
        <v>45741</v>
      </c>
      <c r="C147" t="s">
        <v>33</v>
      </c>
      <c r="D147" t="s">
        <v>20</v>
      </c>
      <c r="E147" s="2">
        <v>150</v>
      </c>
      <c r="F147" s="3">
        <v>2</v>
      </c>
      <c r="G147" s="2">
        <v>300</v>
      </c>
      <c r="H147" t="s">
        <v>14</v>
      </c>
      <c r="I147" t="s">
        <v>46</v>
      </c>
      <c r="J147" t="s">
        <v>16</v>
      </c>
      <c r="K147" t="s">
        <v>40</v>
      </c>
      <c r="L147" t="str">
        <f t="shared" si="20"/>
        <v>Smartwatch</v>
      </c>
      <c r="M147" t="str">
        <f t="shared" si="21"/>
        <v>Electronics</v>
      </c>
      <c r="N147" t="str">
        <f t="shared" si="22"/>
        <v>Emma Clark</v>
      </c>
      <c r="O147" t="str">
        <f t="shared" si="23"/>
        <v>Boston</v>
      </c>
      <c r="P147" t="str">
        <f t="shared" si="24"/>
        <v>Debit Card</v>
      </c>
      <c r="Q147" t="str">
        <f t="shared" si="25"/>
        <v>Completed</v>
      </c>
      <c r="R147" t="b">
        <f t="shared" si="26"/>
        <v>1</v>
      </c>
      <c r="S147" t="str">
        <f t="shared" si="27"/>
        <v>Mar</v>
      </c>
      <c r="T147" t="str">
        <f t="shared" si="28"/>
        <v>Tuesday</v>
      </c>
      <c r="U147" t="str">
        <f t="shared" si="29"/>
        <v>Completed</v>
      </c>
    </row>
    <row r="148" spans="1:21" x14ac:dyDescent="0.3">
      <c r="A148" t="s">
        <v>200</v>
      </c>
      <c r="B148" s="1">
        <v>45693</v>
      </c>
      <c r="C148" t="s">
        <v>12</v>
      </c>
      <c r="D148" t="s">
        <v>13</v>
      </c>
      <c r="E148" s="2">
        <v>60</v>
      </c>
      <c r="F148" s="3">
        <v>5</v>
      </c>
      <c r="G148" s="2">
        <v>300</v>
      </c>
      <c r="H148" t="s">
        <v>80</v>
      </c>
      <c r="I148" t="s">
        <v>30</v>
      </c>
      <c r="J148" t="s">
        <v>39</v>
      </c>
      <c r="K148" t="s">
        <v>23</v>
      </c>
      <c r="L148" t="str">
        <f t="shared" si="20"/>
        <v>Running Shoes</v>
      </c>
      <c r="M148" t="str">
        <f t="shared" si="21"/>
        <v>Footwear</v>
      </c>
      <c r="N148" t="str">
        <f t="shared" si="22"/>
        <v>Jane Smith</v>
      </c>
      <c r="O148" t="str">
        <f t="shared" si="23"/>
        <v>Dallas</v>
      </c>
      <c r="P148" t="str">
        <f t="shared" si="24"/>
        <v>Paypal</v>
      </c>
      <c r="Q148" t="str">
        <f t="shared" si="25"/>
        <v>Pending</v>
      </c>
      <c r="R148" t="b">
        <f t="shared" si="26"/>
        <v>1</v>
      </c>
      <c r="S148" t="str">
        <f t="shared" si="27"/>
        <v>Feb</v>
      </c>
      <c r="T148" t="str">
        <f t="shared" si="28"/>
        <v>Wednesday</v>
      </c>
      <c r="U148" t="str">
        <f t="shared" si="29"/>
        <v>Pending</v>
      </c>
    </row>
    <row r="149" spans="1:21" x14ac:dyDescent="0.3">
      <c r="A149" t="s">
        <v>201</v>
      </c>
      <c r="B149" s="1">
        <v>45694</v>
      </c>
      <c r="C149" t="s">
        <v>19</v>
      </c>
      <c r="D149" t="s">
        <v>20</v>
      </c>
      <c r="E149" s="2">
        <v>100</v>
      </c>
      <c r="F149" s="3">
        <v>4</v>
      </c>
      <c r="G149" s="2">
        <v>400</v>
      </c>
      <c r="H149" t="s">
        <v>21</v>
      </c>
      <c r="I149" t="s">
        <v>68</v>
      </c>
      <c r="J149" t="s">
        <v>27</v>
      </c>
      <c r="K149" t="s">
        <v>17</v>
      </c>
      <c r="L149" t="str">
        <f t="shared" si="20"/>
        <v>Headphones</v>
      </c>
      <c r="M149" t="str">
        <f t="shared" si="21"/>
        <v>Electronics</v>
      </c>
      <c r="N149" t="str">
        <f t="shared" si="22"/>
        <v>Emily Johnson</v>
      </c>
      <c r="O149" t="str">
        <f t="shared" si="23"/>
        <v>Los Angeles</v>
      </c>
      <c r="P149" t="str">
        <f t="shared" si="24"/>
        <v>Amazon Pay</v>
      </c>
      <c r="Q149" t="str">
        <f t="shared" si="25"/>
        <v>Cancelled</v>
      </c>
      <c r="R149" t="b">
        <f t="shared" si="26"/>
        <v>1</v>
      </c>
      <c r="S149" t="str">
        <f t="shared" si="27"/>
        <v>Feb</v>
      </c>
      <c r="T149" t="str">
        <f t="shared" si="28"/>
        <v>Thursday</v>
      </c>
      <c r="U149" t="str">
        <f t="shared" si="29"/>
        <v>Cancelled</v>
      </c>
    </row>
    <row r="150" spans="1:21" x14ac:dyDescent="0.3">
      <c r="A150" t="s">
        <v>202</v>
      </c>
      <c r="B150" s="1">
        <v>45736</v>
      </c>
      <c r="C150" t="s">
        <v>12</v>
      </c>
      <c r="D150" t="s">
        <v>13</v>
      </c>
      <c r="E150" s="2">
        <v>60</v>
      </c>
      <c r="F150" s="3">
        <v>3</v>
      </c>
      <c r="G150" s="2">
        <v>180</v>
      </c>
      <c r="H150" t="s">
        <v>54</v>
      </c>
      <c r="I150" t="s">
        <v>15</v>
      </c>
      <c r="J150" t="s">
        <v>58</v>
      </c>
      <c r="K150" t="s">
        <v>23</v>
      </c>
      <c r="L150" t="str">
        <f t="shared" si="20"/>
        <v>Running Shoes</v>
      </c>
      <c r="M150" t="str">
        <f t="shared" si="21"/>
        <v>Footwear</v>
      </c>
      <c r="N150" t="str">
        <f t="shared" si="22"/>
        <v>Michael Brown</v>
      </c>
      <c r="O150" t="str">
        <f t="shared" si="23"/>
        <v>New York</v>
      </c>
      <c r="P150" t="str">
        <f t="shared" si="24"/>
        <v>Gift Card</v>
      </c>
      <c r="Q150" t="str">
        <f t="shared" si="25"/>
        <v>Pending</v>
      </c>
      <c r="R150" t="b">
        <f t="shared" si="26"/>
        <v>1</v>
      </c>
      <c r="S150" t="str">
        <f t="shared" si="27"/>
        <v>Mar</v>
      </c>
      <c r="T150" t="str">
        <f t="shared" si="28"/>
        <v>Thursday</v>
      </c>
      <c r="U150" t="str">
        <f t="shared" si="29"/>
        <v>Pending</v>
      </c>
    </row>
    <row r="151" spans="1:21" x14ac:dyDescent="0.3">
      <c r="A151" t="s">
        <v>203</v>
      </c>
      <c r="B151" s="1">
        <v>45696</v>
      </c>
      <c r="C151" t="s">
        <v>49</v>
      </c>
      <c r="D151" t="s">
        <v>50</v>
      </c>
      <c r="E151" s="2">
        <v>15</v>
      </c>
      <c r="F151" s="3">
        <v>4</v>
      </c>
      <c r="G151" s="2">
        <v>60</v>
      </c>
      <c r="H151" t="s">
        <v>57</v>
      </c>
      <c r="I151" t="s">
        <v>81</v>
      </c>
      <c r="J151" t="s">
        <v>58</v>
      </c>
      <c r="K151" t="s">
        <v>17</v>
      </c>
      <c r="L151" t="str">
        <f t="shared" si="20"/>
        <v>Book</v>
      </c>
      <c r="M151" t="str">
        <f t="shared" si="21"/>
        <v>Books</v>
      </c>
      <c r="N151" t="str">
        <f t="shared" si="22"/>
        <v>Daniel Harris</v>
      </c>
      <c r="O151" t="str">
        <f t="shared" si="23"/>
        <v>Chicago</v>
      </c>
      <c r="P151" t="str">
        <f t="shared" si="24"/>
        <v>Gift Card</v>
      </c>
      <c r="Q151" t="str">
        <f t="shared" si="25"/>
        <v>Cancelled</v>
      </c>
      <c r="R151" t="b">
        <f t="shared" si="26"/>
        <v>1</v>
      </c>
      <c r="S151" t="str">
        <f t="shared" si="27"/>
        <v>Feb</v>
      </c>
      <c r="T151" t="str">
        <f t="shared" si="28"/>
        <v>Saturday</v>
      </c>
      <c r="U151" t="str">
        <f t="shared" si="29"/>
        <v>Cancelled</v>
      </c>
    </row>
    <row r="152" spans="1:21" x14ac:dyDescent="0.3">
      <c r="A152" t="s">
        <v>204</v>
      </c>
      <c r="B152" s="1">
        <v>45745</v>
      </c>
      <c r="C152" t="s">
        <v>60</v>
      </c>
      <c r="D152" t="s">
        <v>61</v>
      </c>
      <c r="E152" s="2">
        <v>600</v>
      </c>
      <c r="F152" s="3">
        <v>4</v>
      </c>
      <c r="G152" s="2">
        <v>2400</v>
      </c>
      <c r="H152" t="s">
        <v>80</v>
      </c>
      <c r="I152" t="s">
        <v>68</v>
      </c>
      <c r="J152" t="s">
        <v>27</v>
      </c>
      <c r="K152" t="s">
        <v>23</v>
      </c>
      <c r="L152" t="str">
        <f t="shared" si="20"/>
        <v>Washing Machine</v>
      </c>
      <c r="M152" t="str">
        <f t="shared" si="21"/>
        <v>Home Appliances</v>
      </c>
      <c r="N152" t="str">
        <f t="shared" si="22"/>
        <v>Jane Smith</v>
      </c>
      <c r="O152" t="str">
        <f t="shared" si="23"/>
        <v>Los Angeles</v>
      </c>
      <c r="P152" t="str">
        <f t="shared" si="24"/>
        <v>Amazon Pay</v>
      </c>
      <c r="Q152" t="str">
        <f t="shared" si="25"/>
        <v>Pending</v>
      </c>
      <c r="R152" t="b">
        <f t="shared" si="26"/>
        <v>1</v>
      </c>
      <c r="S152" t="str">
        <f t="shared" si="27"/>
        <v>Mar</v>
      </c>
      <c r="T152" t="str">
        <f t="shared" si="28"/>
        <v>Saturday</v>
      </c>
      <c r="U152" t="str">
        <f t="shared" si="29"/>
        <v>Pending</v>
      </c>
    </row>
    <row r="153" spans="1:21" x14ac:dyDescent="0.3">
      <c r="A153" t="s">
        <v>205</v>
      </c>
      <c r="B153" s="1">
        <v>45716</v>
      </c>
      <c r="C153" t="s">
        <v>33</v>
      </c>
      <c r="D153" t="s">
        <v>20</v>
      </c>
      <c r="E153" s="2">
        <v>150</v>
      </c>
      <c r="F153" s="3">
        <v>1</v>
      </c>
      <c r="G153" s="2">
        <v>150</v>
      </c>
      <c r="H153" t="s">
        <v>25</v>
      </c>
      <c r="I153" t="s">
        <v>63</v>
      </c>
      <c r="J153" t="s">
        <v>58</v>
      </c>
      <c r="K153" t="s">
        <v>40</v>
      </c>
      <c r="L153" t="str">
        <f t="shared" si="20"/>
        <v>Smartwatch</v>
      </c>
      <c r="M153" t="str">
        <f t="shared" si="21"/>
        <v>Electronics</v>
      </c>
      <c r="N153" t="str">
        <f t="shared" si="22"/>
        <v>John Doe</v>
      </c>
      <c r="O153" t="str">
        <f t="shared" si="23"/>
        <v>Seattle</v>
      </c>
      <c r="P153" t="str">
        <f t="shared" si="24"/>
        <v>Gift Card</v>
      </c>
      <c r="Q153" t="str">
        <f t="shared" si="25"/>
        <v>Completed</v>
      </c>
      <c r="R153" t="b">
        <f t="shared" si="26"/>
        <v>1</v>
      </c>
      <c r="S153" t="str">
        <f t="shared" si="27"/>
        <v>Feb</v>
      </c>
      <c r="T153" t="str">
        <f t="shared" si="28"/>
        <v>Friday</v>
      </c>
      <c r="U153" t="str">
        <f t="shared" si="29"/>
        <v>Completed</v>
      </c>
    </row>
    <row r="154" spans="1:21" x14ac:dyDescent="0.3">
      <c r="A154" t="s">
        <v>206</v>
      </c>
      <c r="B154" s="1">
        <v>45711</v>
      </c>
      <c r="C154" t="s">
        <v>33</v>
      </c>
      <c r="D154" t="s">
        <v>20</v>
      </c>
      <c r="E154" s="2">
        <v>150</v>
      </c>
      <c r="F154" s="3">
        <v>5</v>
      </c>
      <c r="G154" s="2">
        <v>750</v>
      </c>
      <c r="H154" t="s">
        <v>43</v>
      </c>
      <c r="I154" t="s">
        <v>22</v>
      </c>
      <c r="J154" t="s">
        <v>39</v>
      </c>
      <c r="K154" t="s">
        <v>23</v>
      </c>
      <c r="L154" t="str">
        <f t="shared" si="20"/>
        <v>Smartwatch</v>
      </c>
      <c r="M154" t="str">
        <f t="shared" si="21"/>
        <v>Electronics</v>
      </c>
      <c r="N154" t="str">
        <f t="shared" si="22"/>
        <v>Sophia Miller</v>
      </c>
      <c r="O154" t="str">
        <f t="shared" si="23"/>
        <v>San Francisco</v>
      </c>
      <c r="P154" t="str">
        <f t="shared" si="24"/>
        <v>Paypal</v>
      </c>
      <c r="Q154" t="str">
        <f t="shared" si="25"/>
        <v>Pending</v>
      </c>
      <c r="R154" t="b">
        <f t="shared" si="26"/>
        <v>1</v>
      </c>
      <c r="S154" t="str">
        <f t="shared" si="27"/>
        <v>Feb</v>
      </c>
      <c r="T154" t="str">
        <f t="shared" si="28"/>
        <v>Sunday</v>
      </c>
      <c r="U154" t="str">
        <f t="shared" si="29"/>
        <v>Pending</v>
      </c>
    </row>
    <row r="155" spans="1:21" x14ac:dyDescent="0.3">
      <c r="A155" t="s">
        <v>207</v>
      </c>
      <c r="B155" s="1">
        <v>45717</v>
      </c>
      <c r="C155" t="s">
        <v>19</v>
      </c>
      <c r="D155" t="s">
        <v>20</v>
      </c>
      <c r="E155" s="2">
        <v>100</v>
      </c>
      <c r="F155" s="3">
        <v>2</v>
      </c>
      <c r="G155" s="2">
        <v>200</v>
      </c>
      <c r="H155" t="s">
        <v>25</v>
      </c>
      <c r="I155" t="s">
        <v>26</v>
      </c>
      <c r="J155" t="s">
        <v>16</v>
      </c>
      <c r="K155" t="s">
        <v>40</v>
      </c>
      <c r="L155" t="str">
        <f t="shared" si="20"/>
        <v>Headphones</v>
      </c>
      <c r="M155" t="str">
        <f t="shared" si="21"/>
        <v>Electronics</v>
      </c>
      <c r="N155" t="str">
        <f t="shared" si="22"/>
        <v>John Doe</v>
      </c>
      <c r="O155" t="str">
        <f t="shared" si="23"/>
        <v>Denver</v>
      </c>
      <c r="P155" t="str">
        <f t="shared" si="24"/>
        <v>Debit Card</v>
      </c>
      <c r="Q155" t="str">
        <f t="shared" si="25"/>
        <v>Completed</v>
      </c>
      <c r="R155" t="b">
        <f t="shared" si="26"/>
        <v>1</v>
      </c>
      <c r="S155" t="str">
        <f t="shared" si="27"/>
        <v>Mar</v>
      </c>
      <c r="T155" t="str">
        <f t="shared" si="28"/>
        <v>Saturday</v>
      </c>
      <c r="U155" t="str">
        <f t="shared" si="29"/>
        <v>Completed</v>
      </c>
    </row>
    <row r="156" spans="1:21" x14ac:dyDescent="0.3">
      <c r="A156" t="s">
        <v>208</v>
      </c>
      <c r="B156" s="1">
        <v>45693</v>
      </c>
      <c r="C156" t="s">
        <v>65</v>
      </c>
      <c r="D156" t="s">
        <v>61</v>
      </c>
      <c r="E156" s="2">
        <v>1200</v>
      </c>
      <c r="F156" s="3">
        <v>4</v>
      </c>
      <c r="G156" s="2">
        <v>4800</v>
      </c>
      <c r="H156" t="s">
        <v>43</v>
      </c>
      <c r="I156" t="s">
        <v>63</v>
      </c>
      <c r="J156" t="s">
        <v>31</v>
      </c>
      <c r="K156" t="s">
        <v>23</v>
      </c>
      <c r="L156" t="str">
        <f t="shared" si="20"/>
        <v>Refrigerator</v>
      </c>
      <c r="M156" t="str">
        <f t="shared" si="21"/>
        <v>Home Appliances</v>
      </c>
      <c r="N156" t="str">
        <f t="shared" si="22"/>
        <v>Sophia Miller</v>
      </c>
      <c r="O156" t="str">
        <f t="shared" si="23"/>
        <v>Seattle</v>
      </c>
      <c r="P156" t="str">
        <f t="shared" si="24"/>
        <v>Credit Card</v>
      </c>
      <c r="Q156" t="str">
        <f t="shared" si="25"/>
        <v>Pending</v>
      </c>
      <c r="R156" t="b">
        <f t="shared" si="26"/>
        <v>1</v>
      </c>
      <c r="S156" t="str">
        <f t="shared" si="27"/>
        <v>Feb</v>
      </c>
      <c r="T156" t="str">
        <f t="shared" si="28"/>
        <v>Wednesday</v>
      </c>
      <c r="U156" t="str">
        <f t="shared" si="29"/>
        <v>Pending</v>
      </c>
    </row>
    <row r="157" spans="1:21" x14ac:dyDescent="0.3">
      <c r="A157" t="s">
        <v>209</v>
      </c>
      <c r="B157" s="1">
        <v>45732</v>
      </c>
      <c r="C157" t="s">
        <v>33</v>
      </c>
      <c r="D157" t="s">
        <v>20</v>
      </c>
      <c r="E157" s="2">
        <v>150</v>
      </c>
      <c r="F157" s="3">
        <v>4</v>
      </c>
      <c r="G157" s="2">
        <v>600</v>
      </c>
      <c r="H157" t="s">
        <v>29</v>
      </c>
      <c r="I157" t="s">
        <v>44</v>
      </c>
      <c r="J157" t="s">
        <v>39</v>
      </c>
      <c r="K157" t="s">
        <v>17</v>
      </c>
      <c r="L157" t="str">
        <f t="shared" si="20"/>
        <v>Smartwatch</v>
      </c>
      <c r="M157" t="str">
        <f t="shared" si="21"/>
        <v>Electronics</v>
      </c>
      <c r="N157" t="str">
        <f t="shared" si="22"/>
        <v>Olivia Wilson</v>
      </c>
      <c r="O157" t="str">
        <f t="shared" si="23"/>
        <v>Miami</v>
      </c>
      <c r="P157" t="str">
        <f t="shared" si="24"/>
        <v>Paypal</v>
      </c>
      <c r="Q157" t="str">
        <f t="shared" si="25"/>
        <v>Cancelled</v>
      </c>
      <c r="R157" t="b">
        <f t="shared" si="26"/>
        <v>1</v>
      </c>
      <c r="S157" t="str">
        <f t="shared" si="27"/>
        <v>Mar</v>
      </c>
      <c r="T157" t="str">
        <f t="shared" si="28"/>
        <v>Sunday</v>
      </c>
      <c r="U157" t="str">
        <f t="shared" si="29"/>
        <v>Cancelled</v>
      </c>
    </row>
    <row r="158" spans="1:21" x14ac:dyDescent="0.3">
      <c r="A158" t="s">
        <v>210</v>
      </c>
      <c r="B158" s="1">
        <v>45696</v>
      </c>
      <c r="C158" t="s">
        <v>42</v>
      </c>
      <c r="D158" t="s">
        <v>20</v>
      </c>
      <c r="E158" s="2">
        <v>500</v>
      </c>
      <c r="F158" s="3">
        <v>3</v>
      </c>
      <c r="G158" s="2">
        <v>1500</v>
      </c>
      <c r="H158" t="s">
        <v>43</v>
      </c>
      <c r="I158" t="s">
        <v>26</v>
      </c>
      <c r="J158" t="s">
        <v>31</v>
      </c>
      <c r="K158" t="s">
        <v>23</v>
      </c>
      <c r="L158" t="str">
        <f t="shared" si="20"/>
        <v>Smartphone</v>
      </c>
      <c r="M158" t="str">
        <f t="shared" si="21"/>
        <v>Electronics</v>
      </c>
      <c r="N158" t="str">
        <f t="shared" si="22"/>
        <v>Sophia Miller</v>
      </c>
      <c r="O158" t="str">
        <f t="shared" si="23"/>
        <v>Denver</v>
      </c>
      <c r="P158" t="str">
        <f t="shared" si="24"/>
        <v>Credit Card</v>
      </c>
      <c r="Q158" t="str">
        <f t="shared" si="25"/>
        <v>Pending</v>
      </c>
      <c r="R158" t="b">
        <f t="shared" si="26"/>
        <v>1</v>
      </c>
      <c r="S158" t="str">
        <f t="shared" si="27"/>
        <v>Feb</v>
      </c>
      <c r="T158" t="str">
        <f t="shared" si="28"/>
        <v>Saturday</v>
      </c>
      <c r="U158" t="str">
        <f t="shared" si="29"/>
        <v>Pending</v>
      </c>
    </row>
    <row r="159" spans="1:21" x14ac:dyDescent="0.3">
      <c r="A159" t="s">
        <v>211</v>
      </c>
      <c r="B159" s="1">
        <v>45712</v>
      </c>
      <c r="C159" t="s">
        <v>56</v>
      </c>
      <c r="D159" t="s">
        <v>20</v>
      </c>
      <c r="E159" s="2">
        <v>800</v>
      </c>
      <c r="F159" s="3">
        <v>3</v>
      </c>
      <c r="G159" s="2">
        <v>2400</v>
      </c>
      <c r="H159" t="s">
        <v>72</v>
      </c>
      <c r="I159" t="s">
        <v>44</v>
      </c>
      <c r="J159" t="s">
        <v>16</v>
      </c>
      <c r="K159" t="s">
        <v>23</v>
      </c>
      <c r="L159" t="str">
        <f t="shared" si="20"/>
        <v>Laptop</v>
      </c>
      <c r="M159" t="str">
        <f t="shared" si="21"/>
        <v>Electronics</v>
      </c>
      <c r="N159" t="str">
        <f t="shared" si="22"/>
        <v>Chris White</v>
      </c>
      <c r="O159" t="str">
        <f t="shared" si="23"/>
        <v>Miami</v>
      </c>
      <c r="P159" t="str">
        <f t="shared" si="24"/>
        <v>Debit Card</v>
      </c>
      <c r="Q159" t="str">
        <f t="shared" si="25"/>
        <v>Pending</v>
      </c>
      <c r="R159" t="b">
        <f t="shared" si="26"/>
        <v>1</v>
      </c>
      <c r="S159" t="str">
        <f t="shared" si="27"/>
        <v>Feb</v>
      </c>
      <c r="T159" t="str">
        <f t="shared" si="28"/>
        <v>Monday</v>
      </c>
      <c r="U159" t="str">
        <f t="shared" si="29"/>
        <v>Pending</v>
      </c>
    </row>
    <row r="160" spans="1:21" x14ac:dyDescent="0.3">
      <c r="A160" t="s">
        <v>212</v>
      </c>
      <c r="B160" s="1">
        <v>45704</v>
      </c>
      <c r="C160" t="s">
        <v>35</v>
      </c>
      <c r="D160" t="s">
        <v>36</v>
      </c>
      <c r="E160" s="2">
        <v>20</v>
      </c>
      <c r="F160" s="3">
        <v>2</v>
      </c>
      <c r="G160" s="2">
        <v>40</v>
      </c>
      <c r="H160" t="s">
        <v>51</v>
      </c>
      <c r="I160" t="s">
        <v>30</v>
      </c>
      <c r="J160" t="s">
        <v>58</v>
      </c>
      <c r="K160" t="s">
        <v>17</v>
      </c>
      <c r="L160" t="str">
        <f t="shared" si="20"/>
        <v>T-Shirt</v>
      </c>
      <c r="M160" t="str">
        <f t="shared" si="21"/>
        <v>Clothing</v>
      </c>
      <c r="N160" t="str">
        <f t="shared" si="22"/>
        <v>David Lee</v>
      </c>
      <c r="O160" t="str">
        <f t="shared" si="23"/>
        <v>Dallas</v>
      </c>
      <c r="P160" t="str">
        <f t="shared" si="24"/>
        <v>Gift Card</v>
      </c>
      <c r="Q160" t="str">
        <f t="shared" si="25"/>
        <v>Cancelled</v>
      </c>
      <c r="R160" t="b">
        <f t="shared" si="26"/>
        <v>1</v>
      </c>
      <c r="S160" t="str">
        <f t="shared" si="27"/>
        <v>Feb</v>
      </c>
      <c r="T160" t="str">
        <f t="shared" si="28"/>
        <v>Sunday</v>
      </c>
      <c r="U160" t="str">
        <f t="shared" si="29"/>
        <v>Cancelled</v>
      </c>
    </row>
    <row r="161" spans="1:21" x14ac:dyDescent="0.3">
      <c r="A161" t="s">
        <v>213</v>
      </c>
      <c r="B161" s="1">
        <v>45694</v>
      </c>
      <c r="C161" t="s">
        <v>60</v>
      </c>
      <c r="D161" t="s">
        <v>61</v>
      </c>
      <c r="E161" s="2">
        <v>600</v>
      </c>
      <c r="F161" s="3">
        <v>3</v>
      </c>
      <c r="G161" s="2">
        <v>1800</v>
      </c>
      <c r="H161" t="s">
        <v>29</v>
      </c>
      <c r="I161" t="s">
        <v>26</v>
      </c>
      <c r="J161" t="s">
        <v>58</v>
      </c>
      <c r="K161" t="s">
        <v>17</v>
      </c>
      <c r="L161" t="str">
        <f t="shared" si="20"/>
        <v>Washing Machine</v>
      </c>
      <c r="M161" t="str">
        <f t="shared" si="21"/>
        <v>Home Appliances</v>
      </c>
      <c r="N161" t="str">
        <f t="shared" si="22"/>
        <v>Olivia Wilson</v>
      </c>
      <c r="O161" t="str">
        <f t="shared" si="23"/>
        <v>Denver</v>
      </c>
      <c r="P161" t="str">
        <f t="shared" si="24"/>
        <v>Gift Card</v>
      </c>
      <c r="Q161" t="str">
        <f t="shared" si="25"/>
        <v>Cancelled</v>
      </c>
      <c r="R161" t="b">
        <f t="shared" si="26"/>
        <v>1</v>
      </c>
      <c r="S161" t="str">
        <f t="shared" si="27"/>
        <v>Feb</v>
      </c>
      <c r="T161" t="str">
        <f t="shared" si="28"/>
        <v>Thursday</v>
      </c>
      <c r="U161" t="str">
        <f t="shared" si="29"/>
        <v>Cancelled</v>
      </c>
    </row>
    <row r="162" spans="1:21" x14ac:dyDescent="0.3">
      <c r="A162" t="s">
        <v>214</v>
      </c>
      <c r="B162" s="1">
        <v>45710</v>
      </c>
      <c r="C162" t="s">
        <v>19</v>
      </c>
      <c r="D162" t="s">
        <v>20</v>
      </c>
      <c r="E162" s="2">
        <v>100</v>
      </c>
      <c r="F162" s="3">
        <v>1</v>
      </c>
      <c r="G162" s="2">
        <v>100</v>
      </c>
      <c r="H162" t="s">
        <v>21</v>
      </c>
      <c r="I162" t="s">
        <v>68</v>
      </c>
      <c r="J162" t="s">
        <v>31</v>
      </c>
      <c r="K162" t="s">
        <v>40</v>
      </c>
      <c r="L162" t="str">
        <f t="shared" si="20"/>
        <v>Headphones</v>
      </c>
      <c r="M162" t="str">
        <f t="shared" si="21"/>
        <v>Electronics</v>
      </c>
      <c r="N162" t="str">
        <f t="shared" si="22"/>
        <v>Emily Johnson</v>
      </c>
      <c r="O162" t="str">
        <f t="shared" si="23"/>
        <v>Los Angeles</v>
      </c>
      <c r="P162" t="str">
        <f t="shared" si="24"/>
        <v>Credit Card</v>
      </c>
      <c r="Q162" t="str">
        <f t="shared" si="25"/>
        <v>Completed</v>
      </c>
      <c r="R162" t="b">
        <f t="shared" si="26"/>
        <v>1</v>
      </c>
      <c r="S162" t="str">
        <f t="shared" si="27"/>
        <v>Feb</v>
      </c>
      <c r="T162" t="str">
        <f t="shared" si="28"/>
        <v>Saturday</v>
      </c>
      <c r="U162" t="str">
        <f t="shared" si="29"/>
        <v>Completed</v>
      </c>
    </row>
    <row r="163" spans="1:21" x14ac:dyDescent="0.3">
      <c r="A163" t="s">
        <v>215</v>
      </c>
      <c r="B163" s="1">
        <v>45697</v>
      </c>
      <c r="C163" t="s">
        <v>42</v>
      </c>
      <c r="D163" t="s">
        <v>20</v>
      </c>
      <c r="E163" s="2">
        <v>500</v>
      </c>
      <c r="F163" s="3">
        <v>2</v>
      </c>
      <c r="G163" s="2">
        <v>1000</v>
      </c>
      <c r="H163" t="s">
        <v>29</v>
      </c>
      <c r="I163" t="s">
        <v>81</v>
      </c>
      <c r="J163" t="s">
        <v>31</v>
      </c>
      <c r="K163" t="s">
        <v>40</v>
      </c>
      <c r="L163" t="str">
        <f t="shared" si="20"/>
        <v>Smartphone</v>
      </c>
      <c r="M163" t="str">
        <f t="shared" si="21"/>
        <v>Electronics</v>
      </c>
      <c r="N163" t="str">
        <f t="shared" si="22"/>
        <v>Olivia Wilson</v>
      </c>
      <c r="O163" t="str">
        <f t="shared" si="23"/>
        <v>Chicago</v>
      </c>
      <c r="P163" t="str">
        <f t="shared" si="24"/>
        <v>Credit Card</v>
      </c>
      <c r="Q163" t="str">
        <f t="shared" si="25"/>
        <v>Completed</v>
      </c>
      <c r="R163" t="b">
        <f t="shared" si="26"/>
        <v>1</v>
      </c>
      <c r="S163" t="str">
        <f t="shared" si="27"/>
        <v>Feb</v>
      </c>
      <c r="T163" t="str">
        <f t="shared" si="28"/>
        <v>Sunday</v>
      </c>
      <c r="U163" t="str">
        <f t="shared" si="29"/>
        <v>Completed</v>
      </c>
    </row>
    <row r="164" spans="1:21" x14ac:dyDescent="0.3">
      <c r="A164" t="s">
        <v>216</v>
      </c>
      <c r="B164" s="1">
        <v>45708</v>
      </c>
      <c r="C164" t="s">
        <v>12</v>
      </c>
      <c r="D164" t="s">
        <v>13</v>
      </c>
      <c r="E164" s="2">
        <v>60</v>
      </c>
      <c r="F164" s="3">
        <v>2</v>
      </c>
      <c r="G164" s="2">
        <v>120</v>
      </c>
      <c r="H164" t="s">
        <v>72</v>
      </c>
      <c r="I164" t="s">
        <v>38</v>
      </c>
      <c r="J164" t="s">
        <v>39</v>
      </c>
      <c r="K164" t="s">
        <v>40</v>
      </c>
      <c r="L164" t="str">
        <f t="shared" si="20"/>
        <v>Running Shoes</v>
      </c>
      <c r="M164" t="str">
        <f t="shared" si="21"/>
        <v>Footwear</v>
      </c>
      <c r="N164" t="str">
        <f t="shared" si="22"/>
        <v>Chris White</v>
      </c>
      <c r="O164" t="str">
        <f t="shared" si="23"/>
        <v>Houston</v>
      </c>
      <c r="P164" t="str">
        <f t="shared" si="24"/>
        <v>Paypal</v>
      </c>
      <c r="Q164" t="str">
        <f t="shared" si="25"/>
        <v>Completed</v>
      </c>
      <c r="R164" t="b">
        <f t="shared" si="26"/>
        <v>1</v>
      </c>
      <c r="S164" t="str">
        <f t="shared" si="27"/>
        <v>Feb</v>
      </c>
      <c r="T164" t="str">
        <f t="shared" si="28"/>
        <v>Thursday</v>
      </c>
      <c r="U164" t="str">
        <f t="shared" si="29"/>
        <v>Completed</v>
      </c>
    </row>
    <row r="165" spans="1:21" x14ac:dyDescent="0.3">
      <c r="A165" t="s">
        <v>217</v>
      </c>
      <c r="B165" s="1">
        <v>45713</v>
      </c>
      <c r="C165" t="s">
        <v>33</v>
      </c>
      <c r="D165" t="s">
        <v>20</v>
      </c>
      <c r="E165" s="2">
        <v>150</v>
      </c>
      <c r="F165" s="3">
        <v>5</v>
      </c>
      <c r="G165" s="2">
        <v>750</v>
      </c>
      <c r="H165" t="s">
        <v>54</v>
      </c>
      <c r="I165" t="s">
        <v>46</v>
      </c>
      <c r="J165" t="s">
        <v>16</v>
      </c>
      <c r="K165" t="s">
        <v>23</v>
      </c>
      <c r="L165" t="str">
        <f t="shared" si="20"/>
        <v>Smartwatch</v>
      </c>
      <c r="M165" t="str">
        <f t="shared" si="21"/>
        <v>Electronics</v>
      </c>
      <c r="N165" t="str">
        <f t="shared" si="22"/>
        <v>Michael Brown</v>
      </c>
      <c r="O165" t="str">
        <f t="shared" si="23"/>
        <v>Boston</v>
      </c>
      <c r="P165" t="str">
        <f t="shared" si="24"/>
        <v>Debit Card</v>
      </c>
      <c r="Q165" t="str">
        <f t="shared" si="25"/>
        <v>Pending</v>
      </c>
      <c r="R165" t="b">
        <f t="shared" si="26"/>
        <v>1</v>
      </c>
      <c r="S165" t="str">
        <f t="shared" si="27"/>
        <v>Feb</v>
      </c>
      <c r="T165" t="str">
        <f t="shared" si="28"/>
        <v>Tuesday</v>
      </c>
      <c r="U165" t="str">
        <f t="shared" si="29"/>
        <v>Pending</v>
      </c>
    </row>
    <row r="166" spans="1:21" x14ac:dyDescent="0.3">
      <c r="A166" t="s">
        <v>218</v>
      </c>
      <c r="B166" s="1">
        <v>45730</v>
      </c>
      <c r="C166" t="s">
        <v>49</v>
      </c>
      <c r="D166" t="s">
        <v>50</v>
      </c>
      <c r="E166" s="2">
        <v>15</v>
      </c>
      <c r="F166" s="3">
        <v>1</v>
      </c>
      <c r="G166" s="2">
        <v>15</v>
      </c>
      <c r="H166" t="s">
        <v>51</v>
      </c>
      <c r="I166" t="s">
        <v>15</v>
      </c>
      <c r="J166" t="s">
        <v>27</v>
      </c>
      <c r="K166" t="s">
        <v>23</v>
      </c>
      <c r="L166" t="str">
        <f t="shared" si="20"/>
        <v>Book</v>
      </c>
      <c r="M166" t="str">
        <f t="shared" si="21"/>
        <v>Books</v>
      </c>
      <c r="N166" t="str">
        <f t="shared" si="22"/>
        <v>David Lee</v>
      </c>
      <c r="O166" t="str">
        <f t="shared" si="23"/>
        <v>New York</v>
      </c>
      <c r="P166" t="str">
        <f t="shared" si="24"/>
        <v>Amazon Pay</v>
      </c>
      <c r="Q166" t="str">
        <f t="shared" si="25"/>
        <v>Pending</v>
      </c>
      <c r="R166" t="b">
        <f t="shared" si="26"/>
        <v>1</v>
      </c>
      <c r="S166" t="str">
        <f t="shared" si="27"/>
        <v>Mar</v>
      </c>
      <c r="T166" t="str">
        <f t="shared" si="28"/>
        <v>Friday</v>
      </c>
      <c r="U166" t="str">
        <f t="shared" si="29"/>
        <v>Pending</v>
      </c>
    </row>
    <row r="167" spans="1:21" x14ac:dyDescent="0.3">
      <c r="A167" t="s">
        <v>219</v>
      </c>
      <c r="B167" s="1">
        <v>45746</v>
      </c>
      <c r="C167" t="s">
        <v>60</v>
      </c>
      <c r="D167" t="s">
        <v>61</v>
      </c>
      <c r="E167" s="2">
        <v>600</v>
      </c>
      <c r="F167" s="3">
        <v>4</v>
      </c>
      <c r="G167" s="2">
        <v>2400</v>
      </c>
      <c r="H167" t="s">
        <v>72</v>
      </c>
      <c r="I167" t="s">
        <v>38</v>
      </c>
      <c r="J167" t="s">
        <v>31</v>
      </c>
      <c r="K167" t="s">
        <v>23</v>
      </c>
      <c r="L167" t="str">
        <f t="shared" si="20"/>
        <v>Washing Machine</v>
      </c>
      <c r="M167" t="str">
        <f t="shared" si="21"/>
        <v>Home Appliances</v>
      </c>
      <c r="N167" t="str">
        <f t="shared" si="22"/>
        <v>Chris White</v>
      </c>
      <c r="O167" t="str">
        <f t="shared" si="23"/>
        <v>Houston</v>
      </c>
      <c r="P167" t="str">
        <f t="shared" si="24"/>
        <v>Credit Card</v>
      </c>
      <c r="Q167" t="str">
        <f t="shared" si="25"/>
        <v>Pending</v>
      </c>
      <c r="R167" t="b">
        <f t="shared" si="26"/>
        <v>1</v>
      </c>
      <c r="S167" t="str">
        <f t="shared" si="27"/>
        <v>Mar</v>
      </c>
      <c r="T167" t="str">
        <f t="shared" si="28"/>
        <v>Sunday</v>
      </c>
      <c r="U167" t="str">
        <f t="shared" si="29"/>
        <v>Pending</v>
      </c>
    </row>
    <row r="168" spans="1:21" x14ac:dyDescent="0.3">
      <c r="A168" t="s">
        <v>220</v>
      </c>
      <c r="B168" s="1">
        <v>45736</v>
      </c>
      <c r="C168" t="s">
        <v>65</v>
      </c>
      <c r="D168" t="s">
        <v>61</v>
      </c>
      <c r="E168" s="2">
        <v>1200</v>
      </c>
      <c r="F168" s="3">
        <v>2</v>
      </c>
      <c r="G168" s="2">
        <v>2400</v>
      </c>
      <c r="H168" t="s">
        <v>29</v>
      </c>
      <c r="I168" t="s">
        <v>63</v>
      </c>
      <c r="J168" t="s">
        <v>31</v>
      </c>
      <c r="K168" t="s">
        <v>40</v>
      </c>
      <c r="L168" t="str">
        <f t="shared" si="20"/>
        <v>Refrigerator</v>
      </c>
      <c r="M168" t="str">
        <f t="shared" si="21"/>
        <v>Home Appliances</v>
      </c>
      <c r="N168" t="str">
        <f t="shared" si="22"/>
        <v>Olivia Wilson</v>
      </c>
      <c r="O168" t="str">
        <f t="shared" si="23"/>
        <v>Seattle</v>
      </c>
      <c r="P168" t="str">
        <f t="shared" si="24"/>
        <v>Credit Card</v>
      </c>
      <c r="Q168" t="str">
        <f t="shared" si="25"/>
        <v>Completed</v>
      </c>
      <c r="R168" t="b">
        <f t="shared" si="26"/>
        <v>1</v>
      </c>
      <c r="S168" t="str">
        <f t="shared" si="27"/>
        <v>Mar</v>
      </c>
      <c r="T168" t="str">
        <f t="shared" si="28"/>
        <v>Thursday</v>
      </c>
      <c r="U168" t="str">
        <f t="shared" si="29"/>
        <v>Completed</v>
      </c>
    </row>
    <row r="169" spans="1:21" x14ac:dyDescent="0.3">
      <c r="A169" t="s">
        <v>221</v>
      </c>
      <c r="B169" s="1">
        <v>45740</v>
      </c>
      <c r="C169" t="s">
        <v>56</v>
      </c>
      <c r="D169" t="s">
        <v>20</v>
      </c>
      <c r="E169" s="2">
        <v>800</v>
      </c>
      <c r="F169" s="3">
        <v>5</v>
      </c>
      <c r="G169" s="2">
        <v>4000</v>
      </c>
      <c r="H169" t="s">
        <v>54</v>
      </c>
      <c r="I169" t="s">
        <v>44</v>
      </c>
      <c r="J169" t="s">
        <v>16</v>
      </c>
      <c r="K169" t="s">
        <v>23</v>
      </c>
      <c r="L169" t="str">
        <f t="shared" si="20"/>
        <v>Laptop</v>
      </c>
      <c r="M169" t="str">
        <f t="shared" si="21"/>
        <v>Electronics</v>
      </c>
      <c r="N169" t="str">
        <f t="shared" si="22"/>
        <v>Michael Brown</v>
      </c>
      <c r="O169" t="str">
        <f t="shared" si="23"/>
        <v>Miami</v>
      </c>
      <c r="P169" t="str">
        <f t="shared" si="24"/>
        <v>Debit Card</v>
      </c>
      <c r="Q169" t="str">
        <f t="shared" si="25"/>
        <v>Pending</v>
      </c>
      <c r="R169" t="b">
        <f t="shared" si="26"/>
        <v>1</v>
      </c>
      <c r="S169" t="str">
        <f t="shared" si="27"/>
        <v>Mar</v>
      </c>
      <c r="T169" t="str">
        <f t="shared" si="28"/>
        <v>Monday</v>
      </c>
      <c r="U169" t="str">
        <f t="shared" si="29"/>
        <v>Pending</v>
      </c>
    </row>
    <row r="170" spans="1:21" x14ac:dyDescent="0.3">
      <c r="A170" t="s">
        <v>222</v>
      </c>
      <c r="B170" s="1">
        <v>45722</v>
      </c>
      <c r="C170" t="s">
        <v>65</v>
      </c>
      <c r="D170" t="s">
        <v>61</v>
      </c>
      <c r="E170" s="2">
        <v>1200</v>
      </c>
      <c r="F170" s="3">
        <v>2</v>
      </c>
      <c r="G170" s="2">
        <v>2400</v>
      </c>
      <c r="H170" t="s">
        <v>25</v>
      </c>
      <c r="I170" t="s">
        <v>26</v>
      </c>
      <c r="J170" t="s">
        <v>39</v>
      </c>
      <c r="K170" t="s">
        <v>40</v>
      </c>
      <c r="L170" t="str">
        <f t="shared" si="20"/>
        <v>Refrigerator</v>
      </c>
      <c r="M170" t="str">
        <f t="shared" si="21"/>
        <v>Home Appliances</v>
      </c>
      <c r="N170" t="str">
        <f t="shared" si="22"/>
        <v>John Doe</v>
      </c>
      <c r="O170" t="str">
        <f t="shared" si="23"/>
        <v>Denver</v>
      </c>
      <c r="P170" t="str">
        <f t="shared" si="24"/>
        <v>Paypal</v>
      </c>
      <c r="Q170" t="str">
        <f t="shared" si="25"/>
        <v>Completed</v>
      </c>
      <c r="R170" t="b">
        <f t="shared" si="26"/>
        <v>1</v>
      </c>
      <c r="S170" t="str">
        <f t="shared" si="27"/>
        <v>Mar</v>
      </c>
      <c r="T170" t="str">
        <f t="shared" si="28"/>
        <v>Thursday</v>
      </c>
      <c r="U170" t="str">
        <f t="shared" si="29"/>
        <v>Completed</v>
      </c>
    </row>
    <row r="171" spans="1:21" x14ac:dyDescent="0.3">
      <c r="A171" t="s">
        <v>223</v>
      </c>
      <c r="B171" s="1">
        <v>45716</v>
      </c>
      <c r="C171" t="s">
        <v>56</v>
      </c>
      <c r="D171" t="s">
        <v>20</v>
      </c>
      <c r="E171" s="2">
        <v>800</v>
      </c>
      <c r="F171" s="3">
        <v>1</v>
      </c>
      <c r="G171" s="2">
        <v>800</v>
      </c>
      <c r="H171" t="s">
        <v>14</v>
      </c>
      <c r="I171" t="s">
        <v>22</v>
      </c>
      <c r="J171" t="s">
        <v>58</v>
      </c>
      <c r="K171" t="s">
        <v>23</v>
      </c>
      <c r="L171" t="str">
        <f t="shared" si="20"/>
        <v>Laptop</v>
      </c>
      <c r="M171" t="str">
        <f t="shared" si="21"/>
        <v>Electronics</v>
      </c>
      <c r="N171" t="str">
        <f t="shared" si="22"/>
        <v>Emma Clark</v>
      </c>
      <c r="O171" t="str">
        <f t="shared" si="23"/>
        <v>San Francisco</v>
      </c>
      <c r="P171" t="str">
        <f t="shared" si="24"/>
        <v>Gift Card</v>
      </c>
      <c r="Q171" t="str">
        <f t="shared" si="25"/>
        <v>Pending</v>
      </c>
      <c r="R171" t="b">
        <f t="shared" si="26"/>
        <v>1</v>
      </c>
      <c r="S171" t="str">
        <f t="shared" si="27"/>
        <v>Feb</v>
      </c>
      <c r="T171" t="str">
        <f t="shared" si="28"/>
        <v>Friday</v>
      </c>
      <c r="U171" t="str">
        <f t="shared" si="29"/>
        <v>Pending</v>
      </c>
    </row>
    <row r="172" spans="1:21" x14ac:dyDescent="0.3">
      <c r="A172" t="s">
        <v>224</v>
      </c>
      <c r="B172" s="1">
        <v>45716</v>
      </c>
      <c r="C172" t="s">
        <v>33</v>
      </c>
      <c r="D172" t="s">
        <v>20</v>
      </c>
      <c r="E172" s="2">
        <v>150</v>
      </c>
      <c r="F172" s="3">
        <v>2</v>
      </c>
      <c r="G172" s="2">
        <v>300</v>
      </c>
      <c r="H172" t="s">
        <v>57</v>
      </c>
      <c r="I172" t="s">
        <v>38</v>
      </c>
      <c r="J172" t="s">
        <v>39</v>
      </c>
      <c r="K172" t="s">
        <v>40</v>
      </c>
      <c r="L172" t="str">
        <f t="shared" si="20"/>
        <v>Smartwatch</v>
      </c>
      <c r="M172" t="str">
        <f t="shared" si="21"/>
        <v>Electronics</v>
      </c>
      <c r="N172" t="str">
        <f t="shared" si="22"/>
        <v>Daniel Harris</v>
      </c>
      <c r="O172" t="str">
        <f t="shared" si="23"/>
        <v>Houston</v>
      </c>
      <c r="P172" t="str">
        <f t="shared" si="24"/>
        <v>Paypal</v>
      </c>
      <c r="Q172" t="str">
        <f t="shared" si="25"/>
        <v>Completed</v>
      </c>
      <c r="R172" t="b">
        <f t="shared" si="26"/>
        <v>1</v>
      </c>
      <c r="S172" t="str">
        <f t="shared" si="27"/>
        <v>Feb</v>
      </c>
      <c r="T172" t="str">
        <f t="shared" si="28"/>
        <v>Friday</v>
      </c>
      <c r="U172" t="str">
        <f t="shared" si="29"/>
        <v>Completed</v>
      </c>
    </row>
    <row r="173" spans="1:21" x14ac:dyDescent="0.3">
      <c r="A173" t="s">
        <v>225</v>
      </c>
      <c r="B173" s="1">
        <v>45728</v>
      </c>
      <c r="C173" t="s">
        <v>49</v>
      </c>
      <c r="D173" t="s">
        <v>50</v>
      </c>
      <c r="E173" s="2">
        <v>15</v>
      </c>
      <c r="F173" s="3">
        <v>1</v>
      </c>
      <c r="G173" s="2">
        <v>15</v>
      </c>
      <c r="H173" t="s">
        <v>51</v>
      </c>
      <c r="I173" t="s">
        <v>44</v>
      </c>
      <c r="J173" t="s">
        <v>16</v>
      </c>
      <c r="K173" t="s">
        <v>17</v>
      </c>
      <c r="L173" t="str">
        <f t="shared" si="20"/>
        <v>Book</v>
      </c>
      <c r="M173" t="str">
        <f t="shared" si="21"/>
        <v>Books</v>
      </c>
      <c r="N173" t="str">
        <f t="shared" si="22"/>
        <v>David Lee</v>
      </c>
      <c r="O173" t="str">
        <f t="shared" si="23"/>
        <v>Miami</v>
      </c>
      <c r="P173" t="str">
        <f t="shared" si="24"/>
        <v>Debit Card</v>
      </c>
      <c r="Q173" t="str">
        <f t="shared" si="25"/>
        <v>Cancelled</v>
      </c>
      <c r="R173" t="b">
        <f t="shared" si="26"/>
        <v>1</v>
      </c>
      <c r="S173" t="str">
        <f t="shared" si="27"/>
        <v>Mar</v>
      </c>
      <c r="T173" t="str">
        <f t="shared" si="28"/>
        <v>Wednesday</v>
      </c>
      <c r="U173" t="str">
        <f t="shared" si="29"/>
        <v>Cancelled</v>
      </c>
    </row>
    <row r="174" spans="1:21" x14ac:dyDescent="0.3">
      <c r="A174" t="s">
        <v>226</v>
      </c>
      <c r="B174" s="1">
        <v>45716</v>
      </c>
      <c r="C174" t="s">
        <v>65</v>
      </c>
      <c r="D174" t="s">
        <v>61</v>
      </c>
      <c r="E174" s="2">
        <v>1200</v>
      </c>
      <c r="F174" s="3">
        <v>1</v>
      </c>
      <c r="G174" s="2">
        <v>1200</v>
      </c>
      <c r="H174" t="s">
        <v>29</v>
      </c>
      <c r="I174" t="s">
        <v>63</v>
      </c>
      <c r="J174" t="s">
        <v>39</v>
      </c>
      <c r="K174" t="s">
        <v>40</v>
      </c>
      <c r="L174" t="str">
        <f t="shared" si="20"/>
        <v>Refrigerator</v>
      </c>
      <c r="M174" t="str">
        <f t="shared" si="21"/>
        <v>Home Appliances</v>
      </c>
      <c r="N174" t="str">
        <f t="shared" si="22"/>
        <v>Olivia Wilson</v>
      </c>
      <c r="O174" t="str">
        <f t="shared" si="23"/>
        <v>Seattle</v>
      </c>
      <c r="P174" t="str">
        <f t="shared" si="24"/>
        <v>Paypal</v>
      </c>
      <c r="Q174" t="str">
        <f t="shared" si="25"/>
        <v>Completed</v>
      </c>
      <c r="R174" t="b">
        <f t="shared" si="26"/>
        <v>1</v>
      </c>
      <c r="S174" t="str">
        <f t="shared" si="27"/>
        <v>Feb</v>
      </c>
      <c r="T174" t="str">
        <f t="shared" si="28"/>
        <v>Friday</v>
      </c>
      <c r="U174" t="str">
        <f t="shared" si="29"/>
        <v>Completed</v>
      </c>
    </row>
    <row r="175" spans="1:21" x14ac:dyDescent="0.3">
      <c r="A175" t="s">
        <v>227</v>
      </c>
      <c r="B175" s="1">
        <v>45729</v>
      </c>
      <c r="C175" t="s">
        <v>33</v>
      </c>
      <c r="D175" t="s">
        <v>20</v>
      </c>
      <c r="E175" s="2">
        <v>150</v>
      </c>
      <c r="F175" s="3">
        <v>2</v>
      </c>
      <c r="G175" s="2">
        <v>300</v>
      </c>
      <c r="H175" t="s">
        <v>51</v>
      </c>
      <c r="I175" t="s">
        <v>81</v>
      </c>
      <c r="J175" t="s">
        <v>16</v>
      </c>
      <c r="K175" t="s">
        <v>23</v>
      </c>
      <c r="L175" t="str">
        <f t="shared" si="20"/>
        <v>Smartwatch</v>
      </c>
      <c r="M175" t="str">
        <f t="shared" si="21"/>
        <v>Electronics</v>
      </c>
      <c r="N175" t="str">
        <f t="shared" si="22"/>
        <v>David Lee</v>
      </c>
      <c r="O175" t="str">
        <f t="shared" si="23"/>
        <v>Chicago</v>
      </c>
      <c r="P175" t="str">
        <f t="shared" si="24"/>
        <v>Debit Card</v>
      </c>
      <c r="Q175" t="str">
        <f t="shared" si="25"/>
        <v>Pending</v>
      </c>
      <c r="R175" t="b">
        <f t="shared" si="26"/>
        <v>1</v>
      </c>
      <c r="S175" t="str">
        <f t="shared" si="27"/>
        <v>Mar</v>
      </c>
      <c r="T175" t="str">
        <f t="shared" si="28"/>
        <v>Thursday</v>
      </c>
      <c r="U175" t="str">
        <f t="shared" si="29"/>
        <v>Pending</v>
      </c>
    </row>
    <row r="176" spans="1:21" x14ac:dyDescent="0.3">
      <c r="A176" t="s">
        <v>228</v>
      </c>
      <c r="B176" s="1">
        <v>45740</v>
      </c>
      <c r="C176" t="s">
        <v>53</v>
      </c>
      <c r="D176" t="s">
        <v>36</v>
      </c>
      <c r="E176" s="2">
        <v>40</v>
      </c>
      <c r="F176" s="3">
        <v>5</v>
      </c>
      <c r="G176" s="2">
        <v>200</v>
      </c>
      <c r="H176" t="s">
        <v>51</v>
      </c>
      <c r="I176" t="s">
        <v>15</v>
      </c>
      <c r="J176" t="s">
        <v>16</v>
      </c>
      <c r="K176" t="s">
        <v>17</v>
      </c>
      <c r="L176" t="str">
        <f t="shared" si="20"/>
        <v>Jeans</v>
      </c>
      <c r="M176" t="str">
        <f t="shared" si="21"/>
        <v>Clothing</v>
      </c>
      <c r="N176" t="str">
        <f t="shared" si="22"/>
        <v>David Lee</v>
      </c>
      <c r="O176" t="str">
        <f t="shared" si="23"/>
        <v>New York</v>
      </c>
      <c r="P176" t="str">
        <f t="shared" si="24"/>
        <v>Debit Card</v>
      </c>
      <c r="Q176" t="str">
        <f t="shared" si="25"/>
        <v>Cancelled</v>
      </c>
      <c r="R176" t="b">
        <f t="shared" si="26"/>
        <v>1</v>
      </c>
      <c r="S176" t="str">
        <f t="shared" si="27"/>
        <v>Mar</v>
      </c>
      <c r="T176" t="str">
        <f t="shared" si="28"/>
        <v>Monday</v>
      </c>
      <c r="U176" t="str">
        <f t="shared" si="29"/>
        <v>Cancelled</v>
      </c>
    </row>
    <row r="177" spans="1:21" x14ac:dyDescent="0.3">
      <c r="A177" t="s">
        <v>229</v>
      </c>
      <c r="B177" s="1">
        <v>45743</v>
      </c>
      <c r="C177" t="s">
        <v>49</v>
      </c>
      <c r="D177" t="s">
        <v>50</v>
      </c>
      <c r="E177" s="2">
        <v>15</v>
      </c>
      <c r="F177" s="3">
        <v>1</v>
      </c>
      <c r="G177" s="2">
        <v>15</v>
      </c>
      <c r="H177" t="s">
        <v>54</v>
      </c>
      <c r="I177" t="s">
        <v>46</v>
      </c>
      <c r="J177" t="s">
        <v>27</v>
      </c>
      <c r="K177" t="s">
        <v>40</v>
      </c>
      <c r="L177" t="str">
        <f t="shared" si="20"/>
        <v>Book</v>
      </c>
      <c r="M177" t="str">
        <f t="shared" si="21"/>
        <v>Books</v>
      </c>
      <c r="N177" t="str">
        <f t="shared" si="22"/>
        <v>Michael Brown</v>
      </c>
      <c r="O177" t="str">
        <f t="shared" si="23"/>
        <v>Boston</v>
      </c>
      <c r="P177" t="str">
        <f t="shared" si="24"/>
        <v>Amazon Pay</v>
      </c>
      <c r="Q177" t="str">
        <f t="shared" si="25"/>
        <v>Completed</v>
      </c>
      <c r="R177" t="b">
        <f t="shared" si="26"/>
        <v>1</v>
      </c>
      <c r="S177" t="str">
        <f t="shared" si="27"/>
        <v>Mar</v>
      </c>
      <c r="T177" t="str">
        <f t="shared" si="28"/>
        <v>Thursday</v>
      </c>
      <c r="U177" t="str">
        <f t="shared" si="29"/>
        <v>Completed</v>
      </c>
    </row>
    <row r="178" spans="1:21" x14ac:dyDescent="0.3">
      <c r="A178" t="s">
        <v>230</v>
      </c>
      <c r="B178" s="1">
        <v>45730</v>
      </c>
      <c r="C178" t="s">
        <v>49</v>
      </c>
      <c r="D178" t="s">
        <v>50</v>
      </c>
      <c r="E178" s="2">
        <v>15</v>
      </c>
      <c r="F178" s="3">
        <v>5</v>
      </c>
      <c r="G178" s="2">
        <v>75</v>
      </c>
      <c r="H178" t="s">
        <v>51</v>
      </c>
      <c r="I178" t="s">
        <v>22</v>
      </c>
      <c r="J178" t="s">
        <v>31</v>
      </c>
      <c r="K178" t="s">
        <v>23</v>
      </c>
      <c r="L178" t="str">
        <f t="shared" si="20"/>
        <v>Book</v>
      </c>
      <c r="M178" t="str">
        <f t="shared" si="21"/>
        <v>Books</v>
      </c>
      <c r="N178" t="str">
        <f t="shared" si="22"/>
        <v>David Lee</v>
      </c>
      <c r="O178" t="str">
        <f t="shared" si="23"/>
        <v>San Francisco</v>
      </c>
      <c r="P178" t="str">
        <f t="shared" si="24"/>
        <v>Credit Card</v>
      </c>
      <c r="Q178" t="str">
        <f t="shared" si="25"/>
        <v>Pending</v>
      </c>
      <c r="R178" t="b">
        <f t="shared" si="26"/>
        <v>1</v>
      </c>
      <c r="S178" t="str">
        <f t="shared" si="27"/>
        <v>Mar</v>
      </c>
      <c r="T178" t="str">
        <f t="shared" si="28"/>
        <v>Friday</v>
      </c>
      <c r="U178" t="str">
        <f t="shared" si="29"/>
        <v>Pending</v>
      </c>
    </row>
    <row r="179" spans="1:21" x14ac:dyDescent="0.3">
      <c r="A179" t="s">
        <v>231</v>
      </c>
      <c r="B179" s="1">
        <v>45694</v>
      </c>
      <c r="C179" t="s">
        <v>42</v>
      </c>
      <c r="D179" t="s">
        <v>20</v>
      </c>
      <c r="E179" s="2">
        <v>500</v>
      </c>
      <c r="F179" s="3">
        <v>3</v>
      </c>
      <c r="G179" s="2">
        <v>1500</v>
      </c>
      <c r="H179" t="s">
        <v>21</v>
      </c>
      <c r="I179" t="s">
        <v>81</v>
      </c>
      <c r="J179" t="s">
        <v>39</v>
      </c>
      <c r="K179" t="s">
        <v>40</v>
      </c>
      <c r="L179" t="str">
        <f t="shared" si="20"/>
        <v>Smartphone</v>
      </c>
      <c r="M179" t="str">
        <f t="shared" si="21"/>
        <v>Electronics</v>
      </c>
      <c r="N179" t="str">
        <f t="shared" si="22"/>
        <v>Emily Johnson</v>
      </c>
      <c r="O179" t="str">
        <f t="shared" si="23"/>
        <v>Chicago</v>
      </c>
      <c r="P179" t="str">
        <f t="shared" si="24"/>
        <v>Paypal</v>
      </c>
      <c r="Q179" t="str">
        <f t="shared" si="25"/>
        <v>Completed</v>
      </c>
      <c r="R179" t="b">
        <f t="shared" si="26"/>
        <v>1</v>
      </c>
      <c r="S179" t="str">
        <f t="shared" si="27"/>
        <v>Feb</v>
      </c>
      <c r="T179" t="str">
        <f t="shared" si="28"/>
        <v>Thursday</v>
      </c>
      <c r="U179" t="str">
        <f t="shared" si="29"/>
        <v>Completed</v>
      </c>
    </row>
    <row r="180" spans="1:21" x14ac:dyDescent="0.3">
      <c r="A180" t="s">
        <v>232</v>
      </c>
      <c r="B180" s="1">
        <v>45741</v>
      </c>
      <c r="C180" t="s">
        <v>53</v>
      </c>
      <c r="D180" t="s">
        <v>36</v>
      </c>
      <c r="E180" s="2">
        <v>40</v>
      </c>
      <c r="F180" s="3">
        <v>1</v>
      </c>
      <c r="G180" s="2">
        <v>40</v>
      </c>
      <c r="H180" t="s">
        <v>29</v>
      </c>
      <c r="I180" t="s">
        <v>63</v>
      </c>
      <c r="J180" t="s">
        <v>39</v>
      </c>
      <c r="K180" t="s">
        <v>17</v>
      </c>
      <c r="L180" t="str">
        <f t="shared" si="20"/>
        <v>Jeans</v>
      </c>
      <c r="M180" t="str">
        <f t="shared" si="21"/>
        <v>Clothing</v>
      </c>
      <c r="N180" t="str">
        <f t="shared" si="22"/>
        <v>Olivia Wilson</v>
      </c>
      <c r="O180" t="str">
        <f t="shared" si="23"/>
        <v>Seattle</v>
      </c>
      <c r="P180" t="str">
        <f t="shared" si="24"/>
        <v>Paypal</v>
      </c>
      <c r="Q180" t="str">
        <f t="shared" si="25"/>
        <v>Cancelled</v>
      </c>
      <c r="R180" t="b">
        <f t="shared" si="26"/>
        <v>1</v>
      </c>
      <c r="S180" t="str">
        <f t="shared" si="27"/>
        <v>Mar</v>
      </c>
      <c r="T180" t="str">
        <f t="shared" si="28"/>
        <v>Tuesday</v>
      </c>
      <c r="U180" t="str">
        <f t="shared" si="29"/>
        <v>Cancelled</v>
      </c>
    </row>
    <row r="181" spans="1:21" x14ac:dyDescent="0.3">
      <c r="A181" t="s">
        <v>233</v>
      </c>
      <c r="B181" s="1">
        <v>45720</v>
      </c>
      <c r="C181" t="s">
        <v>65</v>
      </c>
      <c r="D181" t="s">
        <v>61</v>
      </c>
      <c r="E181" s="2">
        <v>1200</v>
      </c>
      <c r="F181" s="3">
        <v>3</v>
      </c>
      <c r="G181" s="2">
        <v>3600</v>
      </c>
      <c r="H181" t="s">
        <v>51</v>
      </c>
      <c r="I181" t="s">
        <v>46</v>
      </c>
      <c r="J181" t="s">
        <v>58</v>
      </c>
      <c r="K181" t="s">
        <v>40</v>
      </c>
      <c r="L181" t="str">
        <f t="shared" si="20"/>
        <v>Refrigerator</v>
      </c>
      <c r="M181" t="str">
        <f t="shared" si="21"/>
        <v>Home Appliances</v>
      </c>
      <c r="N181" t="str">
        <f t="shared" si="22"/>
        <v>David Lee</v>
      </c>
      <c r="O181" t="str">
        <f t="shared" si="23"/>
        <v>Boston</v>
      </c>
      <c r="P181" t="str">
        <f t="shared" si="24"/>
        <v>Gift Card</v>
      </c>
      <c r="Q181" t="str">
        <f t="shared" si="25"/>
        <v>Completed</v>
      </c>
      <c r="R181" t="b">
        <f t="shared" si="26"/>
        <v>1</v>
      </c>
      <c r="S181" t="str">
        <f t="shared" si="27"/>
        <v>Mar</v>
      </c>
      <c r="T181" t="str">
        <f t="shared" si="28"/>
        <v>Tuesday</v>
      </c>
      <c r="U181" t="str">
        <f t="shared" si="29"/>
        <v>Completed</v>
      </c>
    </row>
    <row r="182" spans="1:21" x14ac:dyDescent="0.3">
      <c r="A182" t="s">
        <v>234</v>
      </c>
      <c r="B182" s="1">
        <v>45719</v>
      </c>
      <c r="C182" t="s">
        <v>12</v>
      </c>
      <c r="D182" t="s">
        <v>13</v>
      </c>
      <c r="E182" s="2">
        <v>60</v>
      </c>
      <c r="F182" s="3">
        <v>2</v>
      </c>
      <c r="G182" s="2">
        <v>120</v>
      </c>
      <c r="H182" t="s">
        <v>51</v>
      </c>
      <c r="I182" t="s">
        <v>68</v>
      </c>
      <c r="J182" t="s">
        <v>16</v>
      </c>
      <c r="K182" t="s">
        <v>17</v>
      </c>
      <c r="L182" t="str">
        <f t="shared" si="20"/>
        <v>Running Shoes</v>
      </c>
      <c r="M182" t="str">
        <f t="shared" si="21"/>
        <v>Footwear</v>
      </c>
      <c r="N182" t="str">
        <f t="shared" si="22"/>
        <v>David Lee</v>
      </c>
      <c r="O182" t="str">
        <f t="shared" si="23"/>
        <v>Los Angeles</v>
      </c>
      <c r="P182" t="str">
        <f t="shared" si="24"/>
        <v>Debit Card</v>
      </c>
      <c r="Q182" t="str">
        <f t="shared" si="25"/>
        <v>Cancelled</v>
      </c>
      <c r="R182" t="b">
        <f t="shared" si="26"/>
        <v>1</v>
      </c>
      <c r="S182" t="str">
        <f t="shared" si="27"/>
        <v>Mar</v>
      </c>
      <c r="T182" t="str">
        <f t="shared" si="28"/>
        <v>Monday</v>
      </c>
      <c r="U182" t="str">
        <f t="shared" si="29"/>
        <v>Cancelled</v>
      </c>
    </row>
    <row r="183" spans="1:21" x14ac:dyDescent="0.3">
      <c r="A183" t="s">
        <v>235</v>
      </c>
      <c r="B183" s="1">
        <v>45749</v>
      </c>
      <c r="C183" t="s">
        <v>35</v>
      </c>
      <c r="D183" t="s">
        <v>36</v>
      </c>
      <c r="E183" s="2">
        <v>20</v>
      </c>
      <c r="F183" s="3">
        <v>5</v>
      </c>
      <c r="G183" s="2">
        <v>100</v>
      </c>
      <c r="H183" t="s">
        <v>14</v>
      </c>
      <c r="I183" t="s">
        <v>26</v>
      </c>
      <c r="J183" t="s">
        <v>39</v>
      </c>
      <c r="K183" t="s">
        <v>40</v>
      </c>
      <c r="L183" t="str">
        <f t="shared" si="20"/>
        <v>T-Shirt</v>
      </c>
      <c r="M183" t="str">
        <f t="shared" si="21"/>
        <v>Clothing</v>
      </c>
      <c r="N183" t="str">
        <f t="shared" si="22"/>
        <v>Emma Clark</v>
      </c>
      <c r="O183" t="str">
        <f t="shared" si="23"/>
        <v>Denver</v>
      </c>
      <c r="P183" t="str">
        <f t="shared" si="24"/>
        <v>Paypal</v>
      </c>
      <c r="Q183" t="str">
        <f t="shared" si="25"/>
        <v>Completed</v>
      </c>
      <c r="R183" t="b">
        <f t="shared" si="26"/>
        <v>1</v>
      </c>
      <c r="S183" t="str">
        <f t="shared" si="27"/>
        <v>Apr</v>
      </c>
      <c r="T183" t="str">
        <f t="shared" si="28"/>
        <v>Wednesday</v>
      </c>
      <c r="U183" t="str">
        <f t="shared" si="29"/>
        <v>Completed</v>
      </c>
    </row>
    <row r="184" spans="1:21" x14ac:dyDescent="0.3">
      <c r="A184" t="s">
        <v>236</v>
      </c>
      <c r="B184" s="1">
        <v>45741</v>
      </c>
      <c r="C184" t="s">
        <v>60</v>
      </c>
      <c r="D184" t="s">
        <v>61</v>
      </c>
      <c r="E184" s="2">
        <v>600</v>
      </c>
      <c r="F184" s="3">
        <v>1</v>
      </c>
      <c r="G184" s="2">
        <v>600</v>
      </c>
      <c r="H184" t="s">
        <v>14</v>
      </c>
      <c r="I184" t="s">
        <v>63</v>
      </c>
      <c r="J184" t="s">
        <v>16</v>
      </c>
      <c r="K184" t="s">
        <v>23</v>
      </c>
      <c r="L184" t="str">
        <f t="shared" si="20"/>
        <v>Washing Machine</v>
      </c>
      <c r="M184" t="str">
        <f t="shared" si="21"/>
        <v>Home Appliances</v>
      </c>
      <c r="N184" t="str">
        <f t="shared" si="22"/>
        <v>Emma Clark</v>
      </c>
      <c r="O184" t="str">
        <f t="shared" si="23"/>
        <v>Seattle</v>
      </c>
      <c r="P184" t="str">
        <f t="shared" si="24"/>
        <v>Debit Card</v>
      </c>
      <c r="Q184" t="str">
        <f t="shared" si="25"/>
        <v>Pending</v>
      </c>
      <c r="R184" t="b">
        <f t="shared" si="26"/>
        <v>1</v>
      </c>
      <c r="S184" t="str">
        <f t="shared" si="27"/>
        <v>Mar</v>
      </c>
      <c r="T184" t="str">
        <f t="shared" si="28"/>
        <v>Tuesday</v>
      </c>
      <c r="U184" t="str">
        <f t="shared" si="29"/>
        <v>Pending</v>
      </c>
    </row>
    <row r="185" spans="1:21" x14ac:dyDescent="0.3">
      <c r="A185" t="s">
        <v>237</v>
      </c>
      <c r="B185" s="1">
        <v>45705</v>
      </c>
      <c r="C185" t="s">
        <v>49</v>
      </c>
      <c r="D185" t="s">
        <v>50</v>
      </c>
      <c r="E185" s="2">
        <v>15</v>
      </c>
      <c r="F185" s="3">
        <v>5</v>
      </c>
      <c r="G185" s="2">
        <v>75</v>
      </c>
      <c r="H185" t="s">
        <v>57</v>
      </c>
      <c r="I185" t="s">
        <v>44</v>
      </c>
      <c r="J185" t="s">
        <v>16</v>
      </c>
      <c r="K185" t="s">
        <v>23</v>
      </c>
      <c r="L185" t="str">
        <f t="shared" si="20"/>
        <v>Book</v>
      </c>
      <c r="M185" t="str">
        <f t="shared" si="21"/>
        <v>Books</v>
      </c>
      <c r="N185" t="str">
        <f t="shared" si="22"/>
        <v>Daniel Harris</v>
      </c>
      <c r="O185" t="str">
        <f t="shared" si="23"/>
        <v>Miami</v>
      </c>
      <c r="P185" t="str">
        <f t="shared" si="24"/>
        <v>Debit Card</v>
      </c>
      <c r="Q185" t="str">
        <f t="shared" si="25"/>
        <v>Pending</v>
      </c>
      <c r="R185" t="b">
        <f t="shared" si="26"/>
        <v>1</v>
      </c>
      <c r="S185" t="str">
        <f t="shared" si="27"/>
        <v>Feb</v>
      </c>
      <c r="T185" t="str">
        <f t="shared" si="28"/>
        <v>Monday</v>
      </c>
      <c r="U185" t="str">
        <f t="shared" si="29"/>
        <v>Pending</v>
      </c>
    </row>
    <row r="186" spans="1:21" x14ac:dyDescent="0.3">
      <c r="A186" t="s">
        <v>238</v>
      </c>
      <c r="B186" s="1">
        <v>45738</v>
      </c>
      <c r="C186" t="s">
        <v>35</v>
      </c>
      <c r="D186" t="s">
        <v>36</v>
      </c>
      <c r="E186" s="2">
        <v>20</v>
      </c>
      <c r="F186" s="3">
        <v>1</v>
      </c>
      <c r="G186" s="2">
        <v>20</v>
      </c>
      <c r="H186" t="s">
        <v>72</v>
      </c>
      <c r="I186" t="s">
        <v>30</v>
      </c>
      <c r="J186" t="s">
        <v>16</v>
      </c>
      <c r="K186" t="s">
        <v>40</v>
      </c>
      <c r="L186" t="str">
        <f t="shared" si="20"/>
        <v>T-Shirt</v>
      </c>
      <c r="M186" t="str">
        <f t="shared" si="21"/>
        <v>Clothing</v>
      </c>
      <c r="N186" t="str">
        <f t="shared" si="22"/>
        <v>Chris White</v>
      </c>
      <c r="O186" t="str">
        <f t="shared" si="23"/>
        <v>Dallas</v>
      </c>
      <c r="P186" t="str">
        <f t="shared" si="24"/>
        <v>Debit Card</v>
      </c>
      <c r="Q186" t="str">
        <f t="shared" si="25"/>
        <v>Completed</v>
      </c>
      <c r="R186" t="b">
        <f t="shared" si="26"/>
        <v>1</v>
      </c>
      <c r="S186" t="str">
        <f t="shared" si="27"/>
        <v>Mar</v>
      </c>
      <c r="T186" t="str">
        <f t="shared" si="28"/>
        <v>Saturday</v>
      </c>
      <c r="U186" t="str">
        <f t="shared" si="29"/>
        <v>Completed</v>
      </c>
    </row>
    <row r="187" spans="1:21" x14ac:dyDescent="0.3">
      <c r="A187" t="s">
        <v>239</v>
      </c>
      <c r="B187" s="1">
        <v>45718</v>
      </c>
      <c r="C187" t="s">
        <v>60</v>
      </c>
      <c r="D187" t="s">
        <v>61</v>
      </c>
      <c r="E187" s="2">
        <v>600</v>
      </c>
      <c r="F187" s="3">
        <v>4</v>
      </c>
      <c r="G187" s="2">
        <v>2400</v>
      </c>
      <c r="H187" t="s">
        <v>54</v>
      </c>
      <c r="I187" t="s">
        <v>15</v>
      </c>
      <c r="J187" t="s">
        <v>39</v>
      </c>
      <c r="K187" t="s">
        <v>40</v>
      </c>
      <c r="L187" t="str">
        <f t="shared" si="20"/>
        <v>Washing Machine</v>
      </c>
      <c r="M187" t="str">
        <f t="shared" si="21"/>
        <v>Home Appliances</v>
      </c>
      <c r="N187" t="str">
        <f t="shared" si="22"/>
        <v>Michael Brown</v>
      </c>
      <c r="O187" t="str">
        <f t="shared" si="23"/>
        <v>New York</v>
      </c>
      <c r="P187" t="str">
        <f t="shared" si="24"/>
        <v>Paypal</v>
      </c>
      <c r="Q187" t="str">
        <f t="shared" si="25"/>
        <v>Completed</v>
      </c>
      <c r="R187" t="b">
        <f t="shared" si="26"/>
        <v>1</v>
      </c>
      <c r="S187" t="str">
        <f t="shared" si="27"/>
        <v>Mar</v>
      </c>
      <c r="T187" t="str">
        <f t="shared" si="28"/>
        <v>Sunday</v>
      </c>
      <c r="U187" t="str">
        <f t="shared" si="29"/>
        <v>Completed</v>
      </c>
    </row>
    <row r="188" spans="1:21" x14ac:dyDescent="0.3">
      <c r="A188" t="s">
        <v>240</v>
      </c>
      <c r="B188" s="1">
        <v>45729</v>
      </c>
      <c r="C188" t="s">
        <v>56</v>
      </c>
      <c r="D188" t="s">
        <v>20</v>
      </c>
      <c r="E188" s="2">
        <v>800</v>
      </c>
      <c r="F188" s="3">
        <v>3</v>
      </c>
      <c r="G188" s="2">
        <v>2400</v>
      </c>
      <c r="H188" t="s">
        <v>25</v>
      </c>
      <c r="I188" t="s">
        <v>15</v>
      </c>
      <c r="J188" t="s">
        <v>39</v>
      </c>
      <c r="K188" t="s">
        <v>23</v>
      </c>
      <c r="L188" t="str">
        <f t="shared" si="20"/>
        <v>Laptop</v>
      </c>
      <c r="M188" t="str">
        <f t="shared" si="21"/>
        <v>Electronics</v>
      </c>
      <c r="N188" t="str">
        <f t="shared" si="22"/>
        <v>John Doe</v>
      </c>
      <c r="O188" t="str">
        <f t="shared" si="23"/>
        <v>New York</v>
      </c>
      <c r="P188" t="str">
        <f t="shared" si="24"/>
        <v>Paypal</v>
      </c>
      <c r="Q188" t="str">
        <f t="shared" si="25"/>
        <v>Pending</v>
      </c>
      <c r="R188" t="b">
        <f t="shared" si="26"/>
        <v>1</v>
      </c>
      <c r="S188" t="str">
        <f t="shared" si="27"/>
        <v>Mar</v>
      </c>
      <c r="T188" t="str">
        <f t="shared" si="28"/>
        <v>Thursday</v>
      </c>
      <c r="U188" t="str">
        <f t="shared" si="29"/>
        <v>Pending</v>
      </c>
    </row>
    <row r="189" spans="1:21" x14ac:dyDescent="0.3">
      <c r="A189" t="s">
        <v>241</v>
      </c>
      <c r="B189" s="1">
        <v>45702</v>
      </c>
      <c r="C189" t="s">
        <v>49</v>
      </c>
      <c r="D189" t="s">
        <v>50</v>
      </c>
      <c r="E189" s="2">
        <v>15</v>
      </c>
      <c r="F189" s="3">
        <v>1</v>
      </c>
      <c r="G189" s="2">
        <v>15</v>
      </c>
      <c r="H189" t="s">
        <v>25</v>
      </c>
      <c r="I189" t="s">
        <v>46</v>
      </c>
      <c r="J189" t="s">
        <v>27</v>
      </c>
      <c r="K189" t="s">
        <v>40</v>
      </c>
      <c r="L189" t="str">
        <f t="shared" si="20"/>
        <v>Book</v>
      </c>
      <c r="M189" t="str">
        <f t="shared" si="21"/>
        <v>Books</v>
      </c>
      <c r="N189" t="str">
        <f t="shared" si="22"/>
        <v>John Doe</v>
      </c>
      <c r="O189" t="str">
        <f t="shared" si="23"/>
        <v>Boston</v>
      </c>
      <c r="P189" t="str">
        <f t="shared" si="24"/>
        <v>Amazon Pay</v>
      </c>
      <c r="Q189" t="str">
        <f t="shared" si="25"/>
        <v>Completed</v>
      </c>
      <c r="R189" t="b">
        <f t="shared" si="26"/>
        <v>1</v>
      </c>
      <c r="S189" t="str">
        <f t="shared" si="27"/>
        <v>Feb</v>
      </c>
      <c r="T189" t="str">
        <f t="shared" si="28"/>
        <v>Friday</v>
      </c>
      <c r="U189" t="str">
        <f t="shared" si="29"/>
        <v>Completed</v>
      </c>
    </row>
    <row r="190" spans="1:21" x14ac:dyDescent="0.3">
      <c r="A190" t="s">
        <v>242</v>
      </c>
      <c r="B190" s="1">
        <v>45698</v>
      </c>
      <c r="C190" t="s">
        <v>56</v>
      </c>
      <c r="D190" t="s">
        <v>20</v>
      </c>
      <c r="E190" s="2">
        <v>800</v>
      </c>
      <c r="F190" s="3">
        <v>3</v>
      </c>
      <c r="G190" s="2">
        <v>2400</v>
      </c>
      <c r="H190" t="s">
        <v>80</v>
      </c>
      <c r="I190" t="s">
        <v>38</v>
      </c>
      <c r="J190" t="s">
        <v>27</v>
      </c>
      <c r="K190" t="s">
        <v>40</v>
      </c>
      <c r="L190" t="str">
        <f t="shared" si="20"/>
        <v>Laptop</v>
      </c>
      <c r="M190" t="str">
        <f t="shared" si="21"/>
        <v>Electronics</v>
      </c>
      <c r="N190" t="str">
        <f t="shared" si="22"/>
        <v>Jane Smith</v>
      </c>
      <c r="O190" t="str">
        <f t="shared" si="23"/>
        <v>Houston</v>
      </c>
      <c r="P190" t="str">
        <f t="shared" si="24"/>
        <v>Amazon Pay</v>
      </c>
      <c r="Q190" t="str">
        <f t="shared" si="25"/>
        <v>Completed</v>
      </c>
      <c r="R190" t="b">
        <f t="shared" si="26"/>
        <v>1</v>
      </c>
      <c r="S190" t="str">
        <f t="shared" si="27"/>
        <v>Feb</v>
      </c>
      <c r="T190" t="str">
        <f t="shared" si="28"/>
        <v>Monday</v>
      </c>
      <c r="U190" t="str">
        <f t="shared" si="29"/>
        <v>Completed</v>
      </c>
    </row>
    <row r="191" spans="1:21" x14ac:dyDescent="0.3">
      <c r="A191" t="s">
        <v>243</v>
      </c>
      <c r="B191" s="1">
        <v>45711</v>
      </c>
      <c r="C191" t="s">
        <v>12</v>
      </c>
      <c r="D191" t="s">
        <v>13</v>
      </c>
      <c r="E191" s="2">
        <v>60</v>
      </c>
      <c r="F191" s="3">
        <v>1</v>
      </c>
      <c r="G191" s="2">
        <v>60</v>
      </c>
      <c r="H191" t="s">
        <v>43</v>
      </c>
      <c r="I191" t="s">
        <v>38</v>
      </c>
      <c r="J191" t="s">
        <v>39</v>
      </c>
      <c r="K191" t="s">
        <v>40</v>
      </c>
      <c r="L191" t="str">
        <f t="shared" si="20"/>
        <v>Running Shoes</v>
      </c>
      <c r="M191" t="str">
        <f t="shared" si="21"/>
        <v>Footwear</v>
      </c>
      <c r="N191" t="str">
        <f t="shared" si="22"/>
        <v>Sophia Miller</v>
      </c>
      <c r="O191" t="str">
        <f t="shared" si="23"/>
        <v>Houston</v>
      </c>
      <c r="P191" t="str">
        <f t="shared" si="24"/>
        <v>Paypal</v>
      </c>
      <c r="Q191" t="str">
        <f t="shared" si="25"/>
        <v>Completed</v>
      </c>
      <c r="R191" t="b">
        <f t="shared" si="26"/>
        <v>1</v>
      </c>
      <c r="S191" t="str">
        <f t="shared" si="27"/>
        <v>Feb</v>
      </c>
      <c r="T191" t="str">
        <f t="shared" si="28"/>
        <v>Sunday</v>
      </c>
      <c r="U191" t="str">
        <f t="shared" si="29"/>
        <v>Completed</v>
      </c>
    </row>
    <row r="192" spans="1:21" x14ac:dyDescent="0.3">
      <c r="A192" t="s">
        <v>244</v>
      </c>
      <c r="B192" s="1">
        <v>45716</v>
      </c>
      <c r="C192" t="s">
        <v>53</v>
      </c>
      <c r="D192" t="s">
        <v>36</v>
      </c>
      <c r="E192" s="2">
        <v>40</v>
      </c>
      <c r="F192" s="3">
        <v>4</v>
      </c>
      <c r="G192" s="2">
        <v>160</v>
      </c>
      <c r="H192" t="s">
        <v>25</v>
      </c>
      <c r="I192" t="s">
        <v>63</v>
      </c>
      <c r="J192" t="s">
        <v>27</v>
      </c>
      <c r="K192" t="s">
        <v>23</v>
      </c>
      <c r="L192" t="str">
        <f t="shared" si="20"/>
        <v>Jeans</v>
      </c>
      <c r="M192" t="str">
        <f t="shared" si="21"/>
        <v>Clothing</v>
      </c>
      <c r="N192" t="str">
        <f t="shared" si="22"/>
        <v>John Doe</v>
      </c>
      <c r="O192" t="str">
        <f t="shared" si="23"/>
        <v>Seattle</v>
      </c>
      <c r="P192" t="str">
        <f t="shared" si="24"/>
        <v>Amazon Pay</v>
      </c>
      <c r="Q192" t="str">
        <f t="shared" si="25"/>
        <v>Pending</v>
      </c>
      <c r="R192" t="b">
        <f t="shared" si="26"/>
        <v>1</v>
      </c>
      <c r="S192" t="str">
        <f t="shared" si="27"/>
        <v>Feb</v>
      </c>
      <c r="T192" t="str">
        <f t="shared" si="28"/>
        <v>Friday</v>
      </c>
      <c r="U192" t="str">
        <f t="shared" si="29"/>
        <v>Pending</v>
      </c>
    </row>
    <row r="193" spans="1:21" x14ac:dyDescent="0.3">
      <c r="A193" t="s">
        <v>245</v>
      </c>
      <c r="B193" s="1">
        <v>45747</v>
      </c>
      <c r="C193" t="s">
        <v>19</v>
      </c>
      <c r="D193" t="s">
        <v>20</v>
      </c>
      <c r="E193" s="2">
        <v>100</v>
      </c>
      <c r="F193" s="3">
        <v>3</v>
      </c>
      <c r="G193" s="2">
        <v>300</v>
      </c>
      <c r="H193" t="s">
        <v>43</v>
      </c>
      <c r="I193" t="s">
        <v>30</v>
      </c>
      <c r="J193" t="s">
        <v>58</v>
      </c>
      <c r="K193" t="s">
        <v>23</v>
      </c>
      <c r="L193" t="str">
        <f t="shared" si="20"/>
        <v>Headphones</v>
      </c>
      <c r="M193" t="str">
        <f t="shared" si="21"/>
        <v>Electronics</v>
      </c>
      <c r="N193" t="str">
        <f t="shared" si="22"/>
        <v>Sophia Miller</v>
      </c>
      <c r="O193" t="str">
        <f t="shared" si="23"/>
        <v>Dallas</v>
      </c>
      <c r="P193" t="str">
        <f t="shared" si="24"/>
        <v>Gift Card</v>
      </c>
      <c r="Q193" t="str">
        <f t="shared" si="25"/>
        <v>Pending</v>
      </c>
      <c r="R193" t="b">
        <f t="shared" si="26"/>
        <v>1</v>
      </c>
      <c r="S193" t="str">
        <f t="shared" si="27"/>
        <v>Mar</v>
      </c>
      <c r="T193" t="str">
        <f t="shared" si="28"/>
        <v>Monday</v>
      </c>
      <c r="U193" t="str">
        <f t="shared" si="29"/>
        <v>Pending</v>
      </c>
    </row>
    <row r="194" spans="1:21" x14ac:dyDescent="0.3">
      <c r="A194" t="s">
        <v>246</v>
      </c>
      <c r="B194" s="1">
        <v>45746</v>
      </c>
      <c r="C194" t="s">
        <v>49</v>
      </c>
      <c r="D194" t="s">
        <v>50</v>
      </c>
      <c r="E194" s="2">
        <v>15</v>
      </c>
      <c r="F194" s="3">
        <v>5</v>
      </c>
      <c r="G194" s="2">
        <v>75</v>
      </c>
      <c r="H194" t="s">
        <v>51</v>
      </c>
      <c r="I194" t="s">
        <v>81</v>
      </c>
      <c r="J194" t="s">
        <v>27</v>
      </c>
      <c r="K194" t="s">
        <v>23</v>
      </c>
      <c r="L194" t="str">
        <f t="shared" si="20"/>
        <v>Book</v>
      </c>
      <c r="M194" t="str">
        <f t="shared" si="21"/>
        <v>Books</v>
      </c>
      <c r="N194" t="str">
        <f t="shared" si="22"/>
        <v>David Lee</v>
      </c>
      <c r="O194" t="str">
        <f t="shared" si="23"/>
        <v>Chicago</v>
      </c>
      <c r="P194" t="str">
        <f t="shared" si="24"/>
        <v>Amazon Pay</v>
      </c>
      <c r="Q194" t="str">
        <f t="shared" si="25"/>
        <v>Pending</v>
      </c>
      <c r="R194" t="b">
        <f t="shared" si="26"/>
        <v>1</v>
      </c>
      <c r="S194" t="str">
        <f t="shared" si="27"/>
        <v>Mar</v>
      </c>
      <c r="T194" t="str">
        <f t="shared" si="28"/>
        <v>Sunday</v>
      </c>
      <c r="U194" t="str">
        <f t="shared" si="29"/>
        <v>Pending</v>
      </c>
    </row>
    <row r="195" spans="1:21" x14ac:dyDescent="0.3">
      <c r="A195" t="s">
        <v>247</v>
      </c>
      <c r="B195" s="1">
        <v>45708</v>
      </c>
      <c r="C195" t="s">
        <v>53</v>
      </c>
      <c r="D195" t="s">
        <v>36</v>
      </c>
      <c r="E195" s="2">
        <v>40</v>
      </c>
      <c r="F195" s="3">
        <v>4</v>
      </c>
      <c r="G195" s="2">
        <v>160</v>
      </c>
      <c r="H195" t="s">
        <v>25</v>
      </c>
      <c r="I195" t="s">
        <v>22</v>
      </c>
      <c r="J195" t="s">
        <v>16</v>
      </c>
      <c r="K195" t="s">
        <v>17</v>
      </c>
      <c r="L195" t="str">
        <f t="shared" ref="L195:L251" si="30">PROPER(TRIM(C195))</f>
        <v>Jeans</v>
      </c>
      <c r="M195" t="str">
        <f t="shared" ref="M195:M251" si="31">PROPER(TRIM(D195))</f>
        <v>Clothing</v>
      </c>
      <c r="N195" t="str">
        <f t="shared" ref="N195:N251" si="32">PROPER(TRIM(H195))</f>
        <v>John Doe</v>
      </c>
      <c r="O195" t="str">
        <f t="shared" ref="O195:O251" si="33">PROPER(TRIM(I195))</f>
        <v>San Francisco</v>
      </c>
      <c r="P195" t="str">
        <f t="shared" ref="P195:P251" si="34">PROPER(TRIM(J195))</f>
        <v>Debit Card</v>
      </c>
      <c r="Q195" t="str">
        <f t="shared" ref="Q195:Q251" si="35">PROPER(TRIM(K195))</f>
        <v>Cancelled</v>
      </c>
      <c r="R195" t="b">
        <f t="shared" ref="R195:R251" si="36">E195*F195=G195</f>
        <v>1</v>
      </c>
      <c r="S195" t="str">
        <f t="shared" ref="S195:S251" si="37">TEXT(B195,"MMM")</f>
        <v>Feb</v>
      </c>
      <c r="T195" t="str">
        <f t="shared" ref="T195:T251" si="38">TEXT(B195,"dddd")</f>
        <v>Thursday</v>
      </c>
      <c r="U195" t="str">
        <f t="shared" ref="U195:U251" si="39">Q195</f>
        <v>Cancelled</v>
      </c>
    </row>
    <row r="196" spans="1:21" x14ac:dyDescent="0.3">
      <c r="A196" t="s">
        <v>248</v>
      </c>
      <c r="B196" s="1">
        <v>45726</v>
      </c>
      <c r="C196" t="s">
        <v>42</v>
      </c>
      <c r="D196" t="s">
        <v>20</v>
      </c>
      <c r="E196" s="2">
        <v>500</v>
      </c>
      <c r="F196" s="3">
        <v>3</v>
      </c>
      <c r="G196" s="2">
        <v>1500</v>
      </c>
      <c r="H196" t="s">
        <v>29</v>
      </c>
      <c r="I196" t="s">
        <v>26</v>
      </c>
      <c r="J196" t="s">
        <v>58</v>
      </c>
      <c r="K196" t="s">
        <v>17</v>
      </c>
      <c r="L196" t="str">
        <f t="shared" si="30"/>
        <v>Smartphone</v>
      </c>
      <c r="M196" t="str">
        <f t="shared" si="31"/>
        <v>Electronics</v>
      </c>
      <c r="N196" t="str">
        <f t="shared" si="32"/>
        <v>Olivia Wilson</v>
      </c>
      <c r="O196" t="str">
        <f t="shared" si="33"/>
        <v>Denver</v>
      </c>
      <c r="P196" t="str">
        <f t="shared" si="34"/>
        <v>Gift Card</v>
      </c>
      <c r="Q196" t="str">
        <f t="shared" si="35"/>
        <v>Cancelled</v>
      </c>
      <c r="R196" t="b">
        <f t="shared" si="36"/>
        <v>1</v>
      </c>
      <c r="S196" t="str">
        <f t="shared" si="37"/>
        <v>Mar</v>
      </c>
      <c r="T196" t="str">
        <f t="shared" si="38"/>
        <v>Monday</v>
      </c>
      <c r="U196" t="str">
        <f t="shared" si="39"/>
        <v>Cancelled</v>
      </c>
    </row>
    <row r="197" spans="1:21" x14ac:dyDescent="0.3">
      <c r="A197" t="s">
        <v>249</v>
      </c>
      <c r="B197" s="1">
        <v>45720</v>
      </c>
      <c r="C197" t="s">
        <v>19</v>
      </c>
      <c r="D197" t="s">
        <v>20</v>
      </c>
      <c r="E197" s="2">
        <v>100</v>
      </c>
      <c r="F197" s="3">
        <v>5</v>
      </c>
      <c r="G197" s="2">
        <v>500</v>
      </c>
      <c r="H197" t="s">
        <v>57</v>
      </c>
      <c r="I197" t="s">
        <v>63</v>
      </c>
      <c r="J197" t="s">
        <v>16</v>
      </c>
      <c r="K197" t="s">
        <v>23</v>
      </c>
      <c r="L197" t="str">
        <f t="shared" si="30"/>
        <v>Headphones</v>
      </c>
      <c r="M197" t="str">
        <f t="shared" si="31"/>
        <v>Electronics</v>
      </c>
      <c r="N197" t="str">
        <f t="shared" si="32"/>
        <v>Daniel Harris</v>
      </c>
      <c r="O197" t="str">
        <f t="shared" si="33"/>
        <v>Seattle</v>
      </c>
      <c r="P197" t="str">
        <f t="shared" si="34"/>
        <v>Debit Card</v>
      </c>
      <c r="Q197" t="str">
        <f t="shared" si="35"/>
        <v>Pending</v>
      </c>
      <c r="R197" t="b">
        <f t="shared" si="36"/>
        <v>1</v>
      </c>
      <c r="S197" t="str">
        <f t="shared" si="37"/>
        <v>Mar</v>
      </c>
      <c r="T197" t="str">
        <f t="shared" si="38"/>
        <v>Tuesday</v>
      </c>
      <c r="U197" t="str">
        <f t="shared" si="39"/>
        <v>Pending</v>
      </c>
    </row>
    <row r="198" spans="1:21" x14ac:dyDescent="0.3">
      <c r="A198" t="s">
        <v>250</v>
      </c>
      <c r="B198" s="1">
        <v>45728</v>
      </c>
      <c r="C198" t="s">
        <v>12</v>
      </c>
      <c r="D198" t="s">
        <v>13</v>
      </c>
      <c r="E198" s="2">
        <v>60</v>
      </c>
      <c r="F198" s="3">
        <v>2</v>
      </c>
      <c r="G198" s="2">
        <v>120</v>
      </c>
      <c r="H198" t="s">
        <v>54</v>
      </c>
      <c r="I198" t="s">
        <v>26</v>
      </c>
      <c r="J198" t="s">
        <v>58</v>
      </c>
      <c r="K198" t="s">
        <v>40</v>
      </c>
      <c r="L198" t="str">
        <f t="shared" si="30"/>
        <v>Running Shoes</v>
      </c>
      <c r="M198" t="str">
        <f t="shared" si="31"/>
        <v>Footwear</v>
      </c>
      <c r="N198" t="str">
        <f t="shared" si="32"/>
        <v>Michael Brown</v>
      </c>
      <c r="O198" t="str">
        <f t="shared" si="33"/>
        <v>Denver</v>
      </c>
      <c r="P198" t="str">
        <f t="shared" si="34"/>
        <v>Gift Card</v>
      </c>
      <c r="Q198" t="str">
        <f t="shared" si="35"/>
        <v>Completed</v>
      </c>
      <c r="R198" t="b">
        <f t="shared" si="36"/>
        <v>1</v>
      </c>
      <c r="S198" t="str">
        <f t="shared" si="37"/>
        <v>Mar</v>
      </c>
      <c r="T198" t="str">
        <f t="shared" si="38"/>
        <v>Wednesday</v>
      </c>
      <c r="U198" t="str">
        <f t="shared" si="39"/>
        <v>Completed</v>
      </c>
    </row>
    <row r="199" spans="1:21" x14ac:dyDescent="0.3">
      <c r="A199" t="s">
        <v>251</v>
      </c>
      <c r="B199" s="1">
        <v>45708</v>
      </c>
      <c r="C199" t="s">
        <v>56</v>
      </c>
      <c r="D199" t="s">
        <v>20</v>
      </c>
      <c r="E199" s="2">
        <v>800</v>
      </c>
      <c r="F199" s="3">
        <v>4</v>
      </c>
      <c r="G199" s="2">
        <v>3200</v>
      </c>
      <c r="H199" t="s">
        <v>80</v>
      </c>
      <c r="I199" t="s">
        <v>63</v>
      </c>
      <c r="J199" t="s">
        <v>27</v>
      </c>
      <c r="K199" t="s">
        <v>23</v>
      </c>
      <c r="L199" t="str">
        <f t="shared" si="30"/>
        <v>Laptop</v>
      </c>
      <c r="M199" t="str">
        <f t="shared" si="31"/>
        <v>Electronics</v>
      </c>
      <c r="N199" t="str">
        <f t="shared" si="32"/>
        <v>Jane Smith</v>
      </c>
      <c r="O199" t="str">
        <f t="shared" si="33"/>
        <v>Seattle</v>
      </c>
      <c r="P199" t="str">
        <f t="shared" si="34"/>
        <v>Amazon Pay</v>
      </c>
      <c r="Q199" t="str">
        <f t="shared" si="35"/>
        <v>Pending</v>
      </c>
      <c r="R199" t="b">
        <f t="shared" si="36"/>
        <v>1</v>
      </c>
      <c r="S199" t="str">
        <f t="shared" si="37"/>
        <v>Feb</v>
      </c>
      <c r="T199" t="str">
        <f t="shared" si="38"/>
        <v>Thursday</v>
      </c>
      <c r="U199" t="str">
        <f t="shared" si="39"/>
        <v>Pending</v>
      </c>
    </row>
    <row r="200" spans="1:21" x14ac:dyDescent="0.3">
      <c r="A200" t="s">
        <v>252</v>
      </c>
      <c r="B200" s="1">
        <v>45710</v>
      </c>
      <c r="C200" t="s">
        <v>42</v>
      </c>
      <c r="D200" t="s">
        <v>20</v>
      </c>
      <c r="E200" s="2">
        <v>500</v>
      </c>
      <c r="F200" s="3">
        <v>3</v>
      </c>
      <c r="G200" s="2">
        <v>1500</v>
      </c>
      <c r="H200" t="s">
        <v>72</v>
      </c>
      <c r="I200" t="s">
        <v>30</v>
      </c>
      <c r="J200" t="s">
        <v>31</v>
      </c>
      <c r="K200" t="s">
        <v>40</v>
      </c>
      <c r="L200" t="str">
        <f t="shared" si="30"/>
        <v>Smartphone</v>
      </c>
      <c r="M200" t="str">
        <f t="shared" si="31"/>
        <v>Electronics</v>
      </c>
      <c r="N200" t="str">
        <f t="shared" si="32"/>
        <v>Chris White</v>
      </c>
      <c r="O200" t="str">
        <f t="shared" si="33"/>
        <v>Dallas</v>
      </c>
      <c r="P200" t="str">
        <f t="shared" si="34"/>
        <v>Credit Card</v>
      </c>
      <c r="Q200" t="str">
        <f t="shared" si="35"/>
        <v>Completed</v>
      </c>
      <c r="R200" t="b">
        <f t="shared" si="36"/>
        <v>1</v>
      </c>
      <c r="S200" t="str">
        <f t="shared" si="37"/>
        <v>Feb</v>
      </c>
      <c r="T200" t="str">
        <f t="shared" si="38"/>
        <v>Saturday</v>
      </c>
      <c r="U200" t="str">
        <f t="shared" si="39"/>
        <v>Completed</v>
      </c>
    </row>
    <row r="201" spans="1:21" x14ac:dyDescent="0.3">
      <c r="A201" t="s">
        <v>253</v>
      </c>
      <c r="B201" s="1">
        <v>45698</v>
      </c>
      <c r="C201" t="s">
        <v>49</v>
      </c>
      <c r="D201" t="s">
        <v>50</v>
      </c>
      <c r="E201" s="2">
        <v>15</v>
      </c>
      <c r="F201" s="3">
        <v>2</v>
      </c>
      <c r="G201" s="2">
        <v>30</v>
      </c>
      <c r="H201" t="s">
        <v>72</v>
      </c>
      <c r="I201" t="s">
        <v>68</v>
      </c>
      <c r="J201" t="s">
        <v>16</v>
      </c>
      <c r="K201" t="s">
        <v>40</v>
      </c>
      <c r="L201" t="str">
        <f t="shared" si="30"/>
        <v>Book</v>
      </c>
      <c r="M201" t="str">
        <f t="shared" si="31"/>
        <v>Books</v>
      </c>
      <c r="N201" t="str">
        <f t="shared" si="32"/>
        <v>Chris White</v>
      </c>
      <c r="O201" t="str">
        <f t="shared" si="33"/>
        <v>Los Angeles</v>
      </c>
      <c r="P201" t="str">
        <f t="shared" si="34"/>
        <v>Debit Card</v>
      </c>
      <c r="Q201" t="str">
        <f t="shared" si="35"/>
        <v>Completed</v>
      </c>
      <c r="R201" t="b">
        <f t="shared" si="36"/>
        <v>1</v>
      </c>
      <c r="S201" t="str">
        <f t="shared" si="37"/>
        <v>Feb</v>
      </c>
      <c r="T201" t="str">
        <f t="shared" si="38"/>
        <v>Monday</v>
      </c>
      <c r="U201" t="str">
        <f t="shared" si="39"/>
        <v>Completed</v>
      </c>
    </row>
    <row r="202" spans="1:21" x14ac:dyDescent="0.3">
      <c r="A202" t="s">
        <v>254</v>
      </c>
      <c r="B202" s="1">
        <v>45691</v>
      </c>
      <c r="C202" t="s">
        <v>49</v>
      </c>
      <c r="D202" t="s">
        <v>50</v>
      </c>
      <c r="E202" s="2">
        <v>15</v>
      </c>
      <c r="F202" s="3">
        <v>4</v>
      </c>
      <c r="G202" s="2">
        <v>60</v>
      </c>
      <c r="H202" t="s">
        <v>54</v>
      </c>
      <c r="I202" t="s">
        <v>22</v>
      </c>
      <c r="J202" t="s">
        <v>31</v>
      </c>
      <c r="K202" t="s">
        <v>40</v>
      </c>
      <c r="L202" t="str">
        <f t="shared" si="30"/>
        <v>Book</v>
      </c>
      <c r="M202" t="str">
        <f t="shared" si="31"/>
        <v>Books</v>
      </c>
      <c r="N202" t="str">
        <f t="shared" si="32"/>
        <v>Michael Brown</v>
      </c>
      <c r="O202" t="str">
        <f t="shared" si="33"/>
        <v>San Francisco</v>
      </c>
      <c r="P202" t="str">
        <f t="shared" si="34"/>
        <v>Credit Card</v>
      </c>
      <c r="Q202" t="str">
        <f t="shared" si="35"/>
        <v>Completed</v>
      </c>
      <c r="R202" t="b">
        <f t="shared" si="36"/>
        <v>1</v>
      </c>
      <c r="S202" t="str">
        <f t="shared" si="37"/>
        <v>Feb</v>
      </c>
      <c r="T202" t="str">
        <f t="shared" si="38"/>
        <v>Monday</v>
      </c>
      <c r="U202" t="str">
        <f t="shared" si="39"/>
        <v>Completed</v>
      </c>
    </row>
    <row r="203" spans="1:21" x14ac:dyDescent="0.3">
      <c r="A203" t="s">
        <v>255</v>
      </c>
      <c r="B203" s="1">
        <v>45709</v>
      </c>
      <c r="C203" t="s">
        <v>42</v>
      </c>
      <c r="D203" t="s">
        <v>20</v>
      </c>
      <c r="E203" s="2">
        <v>500</v>
      </c>
      <c r="F203" s="3">
        <v>2</v>
      </c>
      <c r="G203" s="2">
        <v>1000</v>
      </c>
      <c r="H203" t="s">
        <v>57</v>
      </c>
      <c r="I203" t="s">
        <v>44</v>
      </c>
      <c r="J203" t="s">
        <v>31</v>
      </c>
      <c r="K203" t="s">
        <v>17</v>
      </c>
      <c r="L203" t="str">
        <f t="shared" si="30"/>
        <v>Smartphone</v>
      </c>
      <c r="M203" t="str">
        <f t="shared" si="31"/>
        <v>Electronics</v>
      </c>
      <c r="N203" t="str">
        <f t="shared" si="32"/>
        <v>Daniel Harris</v>
      </c>
      <c r="O203" t="str">
        <f t="shared" si="33"/>
        <v>Miami</v>
      </c>
      <c r="P203" t="str">
        <f t="shared" si="34"/>
        <v>Credit Card</v>
      </c>
      <c r="Q203" t="str">
        <f t="shared" si="35"/>
        <v>Cancelled</v>
      </c>
      <c r="R203" t="b">
        <f t="shared" si="36"/>
        <v>1</v>
      </c>
      <c r="S203" t="str">
        <f t="shared" si="37"/>
        <v>Feb</v>
      </c>
      <c r="T203" t="str">
        <f t="shared" si="38"/>
        <v>Friday</v>
      </c>
      <c r="U203" t="str">
        <f t="shared" si="39"/>
        <v>Cancelled</v>
      </c>
    </row>
    <row r="204" spans="1:21" x14ac:dyDescent="0.3">
      <c r="A204" t="s">
        <v>256</v>
      </c>
      <c r="B204" s="1">
        <v>45709</v>
      </c>
      <c r="C204" t="s">
        <v>65</v>
      </c>
      <c r="D204" t="s">
        <v>61</v>
      </c>
      <c r="E204" s="2">
        <v>1200</v>
      </c>
      <c r="F204" s="3">
        <v>3</v>
      </c>
      <c r="G204" s="2">
        <v>3600</v>
      </c>
      <c r="H204" t="s">
        <v>25</v>
      </c>
      <c r="I204" t="s">
        <v>30</v>
      </c>
      <c r="J204" t="s">
        <v>16</v>
      </c>
      <c r="K204" t="s">
        <v>40</v>
      </c>
      <c r="L204" t="str">
        <f t="shared" si="30"/>
        <v>Refrigerator</v>
      </c>
      <c r="M204" t="str">
        <f t="shared" si="31"/>
        <v>Home Appliances</v>
      </c>
      <c r="N204" t="str">
        <f t="shared" si="32"/>
        <v>John Doe</v>
      </c>
      <c r="O204" t="str">
        <f t="shared" si="33"/>
        <v>Dallas</v>
      </c>
      <c r="P204" t="str">
        <f t="shared" si="34"/>
        <v>Debit Card</v>
      </c>
      <c r="Q204" t="str">
        <f t="shared" si="35"/>
        <v>Completed</v>
      </c>
      <c r="R204" t="b">
        <f t="shared" si="36"/>
        <v>1</v>
      </c>
      <c r="S204" t="str">
        <f t="shared" si="37"/>
        <v>Feb</v>
      </c>
      <c r="T204" t="str">
        <f t="shared" si="38"/>
        <v>Friday</v>
      </c>
      <c r="U204" t="str">
        <f t="shared" si="39"/>
        <v>Completed</v>
      </c>
    </row>
    <row r="205" spans="1:21" x14ac:dyDescent="0.3">
      <c r="A205" t="s">
        <v>257</v>
      </c>
      <c r="B205" s="1">
        <v>45724</v>
      </c>
      <c r="C205" t="s">
        <v>12</v>
      </c>
      <c r="D205" t="s">
        <v>13</v>
      </c>
      <c r="E205" s="2">
        <v>60</v>
      </c>
      <c r="F205" s="3">
        <v>5</v>
      </c>
      <c r="G205" s="2">
        <v>300</v>
      </c>
      <c r="H205" t="s">
        <v>80</v>
      </c>
      <c r="I205" t="s">
        <v>44</v>
      </c>
      <c r="J205" t="s">
        <v>58</v>
      </c>
      <c r="K205" t="s">
        <v>23</v>
      </c>
      <c r="L205" t="str">
        <f t="shared" si="30"/>
        <v>Running Shoes</v>
      </c>
      <c r="M205" t="str">
        <f t="shared" si="31"/>
        <v>Footwear</v>
      </c>
      <c r="N205" t="str">
        <f t="shared" si="32"/>
        <v>Jane Smith</v>
      </c>
      <c r="O205" t="str">
        <f t="shared" si="33"/>
        <v>Miami</v>
      </c>
      <c r="P205" t="str">
        <f t="shared" si="34"/>
        <v>Gift Card</v>
      </c>
      <c r="Q205" t="str">
        <f t="shared" si="35"/>
        <v>Pending</v>
      </c>
      <c r="R205" t="b">
        <f t="shared" si="36"/>
        <v>1</v>
      </c>
      <c r="S205" t="str">
        <f t="shared" si="37"/>
        <v>Mar</v>
      </c>
      <c r="T205" t="str">
        <f t="shared" si="38"/>
        <v>Saturday</v>
      </c>
      <c r="U205" t="str">
        <f t="shared" si="39"/>
        <v>Pending</v>
      </c>
    </row>
    <row r="206" spans="1:21" x14ac:dyDescent="0.3">
      <c r="A206" t="s">
        <v>258</v>
      </c>
      <c r="B206" s="1">
        <v>45715</v>
      </c>
      <c r="C206" t="s">
        <v>19</v>
      </c>
      <c r="D206" t="s">
        <v>20</v>
      </c>
      <c r="E206" s="2">
        <v>100</v>
      </c>
      <c r="F206" s="3">
        <v>2</v>
      </c>
      <c r="G206" s="2">
        <v>200</v>
      </c>
      <c r="H206" t="s">
        <v>51</v>
      </c>
      <c r="I206" t="s">
        <v>38</v>
      </c>
      <c r="J206" t="s">
        <v>39</v>
      </c>
      <c r="K206" t="s">
        <v>40</v>
      </c>
      <c r="L206" t="str">
        <f t="shared" si="30"/>
        <v>Headphones</v>
      </c>
      <c r="M206" t="str">
        <f t="shared" si="31"/>
        <v>Electronics</v>
      </c>
      <c r="N206" t="str">
        <f t="shared" si="32"/>
        <v>David Lee</v>
      </c>
      <c r="O206" t="str">
        <f t="shared" si="33"/>
        <v>Houston</v>
      </c>
      <c r="P206" t="str">
        <f t="shared" si="34"/>
        <v>Paypal</v>
      </c>
      <c r="Q206" t="str">
        <f t="shared" si="35"/>
        <v>Completed</v>
      </c>
      <c r="R206" t="b">
        <f t="shared" si="36"/>
        <v>1</v>
      </c>
      <c r="S206" t="str">
        <f t="shared" si="37"/>
        <v>Feb</v>
      </c>
      <c r="T206" t="str">
        <f t="shared" si="38"/>
        <v>Thursday</v>
      </c>
      <c r="U206" t="str">
        <f t="shared" si="39"/>
        <v>Completed</v>
      </c>
    </row>
    <row r="207" spans="1:21" x14ac:dyDescent="0.3">
      <c r="A207" t="s">
        <v>259</v>
      </c>
      <c r="B207" s="1">
        <v>45700</v>
      </c>
      <c r="C207" t="s">
        <v>60</v>
      </c>
      <c r="D207" t="s">
        <v>61</v>
      </c>
      <c r="E207" s="2">
        <v>600</v>
      </c>
      <c r="F207" s="3">
        <v>5</v>
      </c>
      <c r="G207" s="2">
        <v>3000</v>
      </c>
      <c r="H207" t="s">
        <v>14</v>
      </c>
      <c r="I207" t="s">
        <v>44</v>
      </c>
      <c r="J207" t="s">
        <v>27</v>
      </c>
      <c r="K207" t="s">
        <v>23</v>
      </c>
      <c r="L207" t="str">
        <f t="shared" si="30"/>
        <v>Washing Machine</v>
      </c>
      <c r="M207" t="str">
        <f t="shared" si="31"/>
        <v>Home Appliances</v>
      </c>
      <c r="N207" t="str">
        <f t="shared" si="32"/>
        <v>Emma Clark</v>
      </c>
      <c r="O207" t="str">
        <f t="shared" si="33"/>
        <v>Miami</v>
      </c>
      <c r="P207" t="str">
        <f t="shared" si="34"/>
        <v>Amazon Pay</v>
      </c>
      <c r="Q207" t="str">
        <f t="shared" si="35"/>
        <v>Pending</v>
      </c>
      <c r="R207" t="b">
        <f t="shared" si="36"/>
        <v>1</v>
      </c>
      <c r="S207" t="str">
        <f t="shared" si="37"/>
        <v>Feb</v>
      </c>
      <c r="T207" t="str">
        <f t="shared" si="38"/>
        <v>Wednesday</v>
      </c>
      <c r="U207" t="str">
        <f t="shared" si="39"/>
        <v>Pending</v>
      </c>
    </row>
    <row r="208" spans="1:21" x14ac:dyDescent="0.3">
      <c r="A208" t="s">
        <v>260</v>
      </c>
      <c r="B208" s="1">
        <v>45737</v>
      </c>
      <c r="C208" t="s">
        <v>60</v>
      </c>
      <c r="D208" t="s">
        <v>61</v>
      </c>
      <c r="E208" s="2">
        <v>600</v>
      </c>
      <c r="F208" s="3">
        <v>1</v>
      </c>
      <c r="G208" s="2">
        <v>600</v>
      </c>
      <c r="H208" t="s">
        <v>25</v>
      </c>
      <c r="I208" t="s">
        <v>44</v>
      </c>
      <c r="J208" t="s">
        <v>31</v>
      </c>
      <c r="K208" t="s">
        <v>40</v>
      </c>
      <c r="L208" t="str">
        <f t="shared" si="30"/>
        <v>Washing Machine</v>
      </c>
      <c r="M208" t="str">
        <f t="shared" si="31"/>
        <v>Home Appliances</v>
      </c>
      <c r="N208" t="str">
        <f t="shared" si="32"/>
        <v>John Doe</v>
      </c>
      <c r="O208" t="str">
        <f t="shared" si="33"/>
        <v>Miami</v>
      </c>
      <c r="P208" t="str">
        <f t="shared" si="34"/>
        <v>Credit Card</v>
      </c>
      <c r="Q208" t="str">
        <f t="shared" si="35"/>
        <v>Completed</v>
      </c>
      <c r="R208" t="b">
        <f t="shared" si="36"/>
        <v>1</v>
      </c>
      <c r="S208" t="str">
        <f t="shared" si="37"/>
        <v>Mar</v>
      </c>
      <c r="T208" t="str">
        <f t="shared" si="38"/>
        <v>Friday</v>
      </c>
      <c r="U208" t="str">
        <f t="shared" si="39"/>
        <v>Completed</v>
      </c>
    </row>
    <row r="209" spans="1:21" x14ac:dyDescent="0.3">
      <c r="A209" t="s">
        <v>261</v>
      </c>
      <c r="B209" s="1">
        <v>45690</v>
      </c>
      <c r="C209" t="s">
        <v>65</v>
      </c>
      <c r="D209" t="s">
        <v>61</v>
      </c>
      <c r="E209" s="2">
        <v>1200</v>
      </c>
      <c r="F209" s="3">
        <v>3</v>
      </c>
      <c r="G209" s="2">
        <v>3600</v>
      </c>
      <c r="H209" t="s">
        <v>25</v>
      </c>
      <c r="I209" t="s">
        <v>44</v>
      </c>
      <c r="J209" t="s">
        <v>39</v>
      </c>
      <c r="K209" t="s">
        <v>40</v>
      </c>
      <c r="L209" t="str">
        <f t="shared" si="30"/>
        <v>Refrigerator</v>
      </c>
      <c r="M209" t="str">
        <f t="shared" si="31"/>
        <v>Home Appliances</v>
      </c>
      <c r="N209" t="str">
        <f t="shared" si="32"/>
        <v>John Doe</v>
      </c>
      <c r="O209" t="str">
        <f t="shared" si="33"/>
        <v>Miami</v>
      </c>
      <c r="P209" t="str">
        <f t="shared" si="34"/>
        <v>Paypal</v>
      </c>
      <c r="Q209" t="str">
        <f t="shared" si="35"/>
        <v>Completed</v>
      </c>
      <c r="R209" t="b">
        <f t="shared" si="36"/>
        <v>1</v>
      </c>
      <c r="S209" t="str">
        <f t="shared" si="37"/>
        <v>Feb</v>
      </c>
      <c r="T209" t="str">
        <f t="shared" si="38"/>
        <v>Sunday</v>
      </c>
      <c r="U209" t="str">
        <f t="shared" si="39"/>
        <v>Completed</v>
      </c>
    </row>
    <row r="210" spans="1:21" x14ac:dyDescent="0.3">
      <c r="A210" t="s">
        <v>262</v>
      </c>
      <c r="B210" s="1">
        <v>45745</v>
      </c>
      <c r="C210" t="s">
        <v>53</v>
      </c>
      <c r="D210" t="s">
        <v>36</v>
      </c>
      <c r="E210" s="2">
        <v>40</v>
      </c>
      <c r="F210" s="3">
        <v>5</v>
      </c>
      <c r="G210" s="2">
        <v>200</v>
      </c>
      <c r="H210" t="s">
        <v>57</v>
      </c>
      <c r="I210" t="s">
        <v>30</v>
      </c>
      <c r="J210" t="s">
        <v>39</v>
      </c>
      <c r="K210" t="s">
        <v>40</v>
      </c>
      <c r="L210" t="str">
        <f t="shared" si="30"/>
        <v>Jeans</v>
      </c>
      <c r="M210" t="str">
        <f t="shared" si="31"/>
        <v>Clothing</v>
      </c>
      <c r="N210" t="str">
        <f t="shared" si="32"/>
        <v>Daniel Harris</v>
      </c>
      <c r="O210" t="str">
        <f t="shared" si="33"/>
        <v>Dallas</v>
      </c>
      <c r="P210" t="str">
        <f t="shared" si="34"/>
        <v>Paypal</v>
      </c>
      <c r="Q210" t="str">
        <f t="shared" si="35"/>
        <v>Completed</v>
      </c>
      <c r="R210" t="b">
        <f t="shared" si="36"/>
        <v>1</v>
      </c>
      <c r="S210" t="str">
        <f t="shared" si="37"/>
        <v>Mar</v>
      </c>
      <c r="T210" t="str">
        <f t="shared" si="38"/>
        <v>Saturday</v>
      </c>
      <c r="U210" t="str">
        <f t="shared" si="39"/>
        <v>Completed</v>
      </c>
    </row>
    <row r="211" spans="1:21" x14ac:dyDescent="0.3">
      <c r="A211" t="s">
        <v>263</v>
      </c>
      <c r="B211" s="1">
        <v>45739</v>
      </c>
      <c r="C211" t="s">
        <v>56</v>
      </c>
      <c r="D211" t="s">
        <v>20</v>
      </c>
      <c r="E211" s="2">
        <v>800</v>
      </c>
      <c r="F211" s="3">
        <v>3</v>
      </c>
      <c r="G211" s="2">
        <v>2400</v>
      </c>
      <c r="H211" t="s">
        <v>80</v>
      </c>
      <c r="I211" t="s">
        <v>15</v>
      </c>
      <c r="J211" t="s">
        <v>39</v>
      </c>
      <c r="K211" t="s">
        <v>40</v>
      </c>
      <c r="L211" t="str">
        <f t="shared" si="30"/>
        <v>Laptop</v>
      </c>
      <c r="M211" t="str">
        <f t="shared" si="31"/>
        <v>Electronics</v>
      </c>
      <c r="N211" t="str">
        <f t="shared" si="32"/>
        <v>Jane Smith</v>
      </c>
      <c r="O211" t="str">
        <f t="shared" si="33"/>
        <v>New York</v>
      </c>
      <c r="P211" t="str">
        <f t="shared" si="34"/>
        <v>Paypal</v>
      </c>
      <c r="Q211" t="str">
        <f t="shared" si="35"/>
        <v>Completed</v>
      </c>
      <c r="R211" t="b">
        <f t="shared" si="36"/>
        <v>1</v>
      </c>
      <c r="S211" t="str">
        <f t="shared" si="37"/>
        <v>Mar</v>
      </c>
      <c r="T211" t="str">
        <f t="shared" si="38"/>
        <v>Sunday</v>
      </c>
      <c r="U211" t="str">
        <f t="shared" si="39"/>
        <v>Completed</v>
      </c>
    </row>
    <row r="212" spans="1:21" x14ac:dyDescent="0.3">
      <c r="A212" t="s">
        <v>264</v>
      </c>
      <c r="B212" s="1">
        <v>45729</v>
      </c>
      <c r="C212" t="s">
        <v>42</v>
      </c>
      <c r="D212" t="s">
        <v>20</v>
      </c>
      <c r="E212" s="2">
        <v>500</v>
      </c>
      <c r="F212" s="3">
        <v>1</v>
      </c>
      <c r="G212" s="2">
        <v>500</v>
      </c>
      <c r="H212" t="s">
        <v>51</v>
      </c>
      <c r="I212" t="s">
        <v>44</v>
      </c>
      <c r="J212" t="s">
        <v>58</v>
      </c>
      <c r="K212" t="s">
        <v>23</v>
      </c>
      <c r="L212" t="str">
        <f t="shared" si="30"/>
        <v>Smartphone</v>
      </c>
      <c r="M212" t="str">
        <f t="shared" si="31"/>
        <v>Electronics</v>
      </c>
      <c r="N212" t="str">
        <f t="shared" si="32"/>
        <v>David Lee</v>
      </c>
      <c r="O212" t="str">
        <f t="shared" si="33"/>
        <v>Miami</v>
      </c>
      <c r="P212" t="str">
        <f t="shared" si="34"/>
        <v>Gift Card</v>
      </c>
      <c r="Q212" t="str">
        <f t="shared" si="35"/>
        <v>Pending</v>
      </c>
      <c r="R212" t="b">
        <f t="shared" si="36"/>
        <v>1</v>
      </c>
      <c r="S212" t="str">
        <f t="shared" si="37"/>
        <v>Mar</v>
      </c>
      <c r="T212" t="str">
        <f t="shared" si="38"/>
        <v>Thursday</v>
      </c>
      <c r="U212" t="str">
        <f t="shared" si="39"/>
        <v>Pending</v>
      </c>
    </row>
    <row r="213" spans="1:21" x14ac:dyDescent="0.3">
      <c r="A213" t="s">
        <v>265</v>
      </c>
      <c r="B213" s="1">
        <v>45725</v>
      </c>
      <c r="C213" t="s">
        <v>35</v>
      </c>
      <c r="D213" t="s">
        <v>36</v>
      </c>
      <c r="E213" s="2">
        <v>20</v>
      </c>
      <c r="F213" s="3">
        <v>4</v>
      </c>
      <c r="G213" s="2">
        <v>80</v>
      </c>
      <c r="H213" t="s">
        <v>14</v>
      </c>
      <c r="I213" t="s">
        <v>38</v>
      </c>
      <c r="J213" t="s">
        <v>16</v>
      </c>
      <c r="K213" t="s">
        <v>40</v>
      </c>
      <c r="L213" t="str">
        <f t="shared" si="30"/>
        <v>T-Shirt</v>
      </c>
      <c r="M213" t="str">
        <f t="shared" si="31"/>
        <v>Clothing</v>
      </c>
      <c r="N213" t="str">
        <f t="shared" si="32"/>
        <v>Emma Clark</v>
      </c>
      <c r="O213" t="str">
        <f t="shared" si="33"/>
        <v>Houston</v>
      </c>
      <c r="P213" t="str">
        <f t="shared" si="34"/>
        <v>Debit Card</v>
      </c>
      <c r="Q213" t="str">
        <f t="shared" si="35"/>
        <v>Completed</v>
      </c>
      <c r="R213" t="b">
        <f t="shared" si="36"/>
        <v>1</v>
      </c>
      <c r="S213" t="str">
        <f t="shared" si="37"/>
        <v>Mar</v>
      </c>
      <c r="T213" t="str">
        <f t="shared" si="38"/>
        <v>Sunday</v>
      </c>
      <c r="U213" t="str">
        <f t="shared" si="39"/>
        <v>Completed</v>
      </c>
    </row>
    <row r="214" spans="1:21" x14ac:dyDescent="0.3">
      <c r="A214" t="s">
        <v>266</v>
      </c>
      <c r="B214" s="1">
        <v>45694</v>
      </c>
      <c r="C214" t="s">
        <v>56</v>
      </c>
      <c r="D214" t="s">
        <v>20</v>
      </c>
      <c r="E214" s="2">
        <v>800</v>
      </c>
      <c r="F214" s="3">
        <v>1</v>
      </c>
      <c r="G214" s="2">
        <v>800</v>
      </c>
      <c r="H214" t="s">
        <v>80</v>
      </c>
      <c r="I214" t="s">
        <v>68</v>
      </c>
      <c r="J214" t="s">
        <v>27</v>
      </c>
      <c r="K214" t="s">
        <v>17</v>
      </c>
      <c r="L214" t="str">
        <f t="shared" si="30"/>
        <v>Laptop</v>
      </c>
      <c r="M214" t="str">
        <f t="shared" si="31"/>
        <v>Electronics</v>
      </c>
      <c r="N214" t="str">
        <f t="shared" si="32"/>
        <v>Jane Smith</v>
      </c>
      <c r="O214" t="str">
        <f t="shared" si="33"/>
        <v>Los Angeles</v>
      </c>
      <c r="P214" t="str">
        <f t="shared" si="34"/>
        <v>Amazon Pay</v>
      </c>
      <c r="Q214" t="str">
        <f t="shared" si="35"/>
        <v>Cancelled</v>
      </c>
      <c r="R214" t="b">
        <f t="shared" si="36"/>
        <v>1</v>
      </c>
      <c r="S214" t="str">
        <f t="shared" si="37"/>
        <v>Feb</v>
      </c>
      <c r="T214" t="str">
        <f t="shared" si="38"/>
        <v>Thursday</v>
      </c>
      <c r="U214" t="str">
        <f t="shared" si="39"/>
        <v>Cancelled</v>
      </c>
    </row>
    <row r="215" spans="1:21" x14ac:dyDescent="0.3">
      <c r="A215" t="s">
        <v>267</v>
      </c>
      <c r="B215" s="1">
        <v>45706</v>
      </c>
      <c r="C215" t="s">
        <v>33</v>
      </c>
      <c r="D215" t="s">
        <v>20</v>
      </c>
      <c r="E215" s="2">
        <v>150</v>
      </c>
      <c r="F215" s="3">
        <v>5</v>
      </c>
      <c r="G215" s="2">
        <v>750</v>
      </c>
      <c r="H215" t="s">
        <v>21</v>
      </c>
      <c r="I215" t="s">
        <v>38</v>
      </c>
      <c r="J215" t="s">
        <v>16</v>
      </c>
      <c r="K215" t="s">
        <v>40</v>
      </c>
      <c r="L215" t="str">
        <f t="shared" si="30"/>
        <v>Smartwatch</v>
      </c>
      <c r="M215" t="str">
        <f t="shared" si="31"/>
        <v>Electronics</v>
      </c>
      <c r="N215" t="str">
        <f t="shared" si="32"/>
        <v>Emily Johnson</v>
      </c>
      <c r="O215" t="str">
        <f t="shared" si="33"/>
        <v>Houston</v>
      </c>
      <c r="P215" t="str">
        <f t="shared" si="34"/>
        <v>Debit Card</v>
      </c>
      <c r="Q215" t="str">
        <f t="shared" si="35"/>
        <v>Completed</v>
      </c>
      <c r="R215" t="b">
        <f t="shared" si="36"/>
        <v>1</v>
      </c>
      <c r="S215" t="str">
        <f t="shared" si="37"/>
        <v>Feb</v>
      </c>
      <c r="T215" t="str">
        <f t="shared" si="38"/>
        <v>Tuesday</v>
      </c>
      <c r="U215" t="str">
        <f t="shared" si="39"/>
        <v>Completed</v>
      </c>
    </row>
    <row r="216" spans="1:21" x14ac:dyDescent="0.3">
      <c r="A216" t="s">
        <v>268</v>
      </c>
      <c r="B216" s="1">
        <v>45723</v>
      </c>
      <c r="C216" t="s">
        <v>12</v>
      </c>
      <c r="D216" t="s">
        <v>13</v>
      </c>
      <c r="E216" s="2">
        <v>60</v>
      </c>
      <c r="F216" s="3">
        <v>1</v>
      </c>
      <c r="G216" s="2">
        <v>60</v>
      </c>
      <c r="H216" t="s">
        <v>14</v>
      </c>
      <c r="I216" t="s">
        <v>38</v>
      </c>
      <c r="J216" t="s">
        <v>39</v>
      </c>
      <c r="K216" t="s">
        <v>40</v>
      </c>
      <c r="L216" t="str">
        <f t="shared" si="30"/>
        <v>Running Shoes</v>
      </c>
      <c r="M216" t="str">
        <f t="shared" si="31"/>
        <v>Footwear</v>
      </c>
      <c r="N216" t="str">
        <f t="shared" si="32"/>
        <v>Emma Clark</v>
      </c>
      <c r="O216" t="str">
        <f t="shared" si="33"/>
        <v>Houston</v>
      </c>
      <c r="P216" t="str">
        <f t="shared" si="34"/>
        <v>Paypal</v>
      </c>
      <c r="Q216" t="str">
        <f t="shared" si="35"/>
        <v>Completed</v>
      </c>
      <c r="R216" t="b">
        <f t="shared" si="36"/>
        <v>1</v>
      </c>
      <c r="S216" t="str">
        <f t="shared" si="37"/>
        <v>Mar</v>
      </c>
      <c r="T216" t="str">
        <f t="shared" si="38"/>
        <v>Friday</v>
      </c>
      <c r="U216" t="str">
        <f t="shared" si="39"/>
        <v>Completed</v>
      </c>
    </row>
    <row r="217" spans="1:21" x14ac:dyDescent="0.3">
      <c r="A217" t="s">
        <v>269</v>
      </c>
      <c r="B217" s="1">
        <v>45742</v>
      </c>
      <c r="C217" t="s">
        <v>53</v>
      </c>
      <c r="D217" t="s">
        <v>36</v>
      </c>
      <c r="E217" s="2">
        <v>40</v>
      </c>
      <c r="F217" s="3">
        <v>2</v>
      </c>
      <c r="G217" s="2">
        <v>80</v>
      </c>
      <c r="H217" t="s">
        <v>72</v>
      </c>
      <c r="I217" t="s">
        <v>81</v>
      </c>
      <c r="J217" t="s">
        <v>31</v>
      </c>
      <c r="K217" t="s">
        <v>40</v>
      </c>
      <c r="L217" t="str">
        <f t="shared" si="30"/>
        <v>Jeans</v>
      </c>
      <c r="M217" t="str">
        <f t="shared" si="31"/>
        <v>Clothing</v>
      </c>
      <c r="N217" t="str">
        <f t="shared" si="32"/>
        <v>Chris White</v>
      </c>
      <c r="O217" t="str">
        <f t="shared" si="33"/>
        <v>Chicago</v>
      </c>
      <c r="P217" t="str">
        <f t="shared" si="34"/>
        <v>Credit Card</v>
      </c>
      <c r="Q217" t="str">
        <f t="shared" si="35"/>
        <v>Completed</v>
      </c>
      <c r="R217" t="b">
        <f t="shared" si="36"/>
        <v>1</v>
      </c>
      <c r="S217" t="str">
        <f t="shared" si="37"/>
        <v>Mar</v>
      </c>
      <c r="T217" t="str">
        <f t="shared" si="38"/>
        <v>Wednesday</v>
      </c>
      <c r="U217" t="str">
        <f t="shared" si="39"/>
        <v>Completed</v>
      </c>
    </row>
    <row r="218" spans="1:21" x14ac:dyDescent="0.3">
      <c r="A218" t="s">
        <v>270</v>
      </c>
      <c r="B218" s="1">
        <v>45735</v>
      </c>
      <c r="C218" t="s">
        <v>12</v>
      </c>
      <c r="D218" t="s">
        <v>13</v>
      </c>
      <c r="E218" s="2">
        <v>60</v>
      </c>
      <c r="F218" s="3">
        <v>2</v>
      </c>
      <c r="G218" s="2">
        <v>120</v>
      </c>
      <c r="H218" t="s">
        <v>14</v>
      </c>
      <c r="I218" t="s">
        <v>46</v>
      </c>
      <c r="J218" t="s">
        <v>58</v>
      </c>
      <c r="K218" t="s">
        <v>23</v>
      </c>
      <c r="L218" t="str">
        <f t="shared" si="30"/>
        <v>Running Shoes</v>
      </c>
      <c r="M218" t="str">
        <f t="shared" si="31"/>
        <v>Footwear</v>
      </c>
      <c r="N218" t="str">
        <f t="shared" si="32"/>
        <v>Emma Clark</v>
      </c>
      <c r="O218" t="str">
        <f t="shared" si="33"/>
        <v>Boston</v>
      </c>
      <c r="P218" t="str">
        <f t="shared" si="34"/>
        <v>Gift Card</v>
      </c>
      <c r="Q218" t="str">
        <f t="shared" si="35"/>
        <v>Pending</v>
      </c>
      <c r="R218" t="b">
        <f t="shared" si="36"/>
        <v>1</v>
      </c>
      <c r="S218" t="str">
        <f t="shared" si="37"/>
        <v>Mar</v>
      </c>
      <c r="T218" t="str">
        <f t="shared" si="38"/>
        <v>Wednesday</v>
      </c>
      <c r="U218" t="str">
        <f t="shared" si="39"/>
        <v>Pending</v>
      </c>
    </row>
    <row r="219" spans="1:21" x14ac:dyDescent="0.3">
      <c r="A219" t="s">
        <v>271</v>
      </c>
      <c r="B219" s="1">
        <v>45703</v>
      </c>
      <c r="C219" t="s">
        <v>19</v>
      </c>
      <c r="D219" t="s">
        <v>20</v>
      </c>
      <c r="E219" s="2">
        <v>100</v>
      </c>
      <c r="F219" s="3">
        <v>4</v>
      </c>
      <c r="G219" s="2">
        <v>400</v>
      </c>
      <c r="H219" t="s">
        <v>57</v>
      </c>
      <c r="I219" t="s">
        <v>15</v>
      </c>
      <c r="J219" t="s">
        <v>58</v>
      </c>
      <c r="K219" t="s">
        <v>17</v>
      </c>
      <c r="L219" t="str">
        <f t="shared" si="30"/>
        <v>Headphones</v>
      </c>
      <c r="M219" t="str">
        <f t="shared" si="31"/>
        <v>Electronics</v>
      </c>
      <c r="N219" t="str">
        <f t="shared" si="32"/>
        <v>Daniel Harris</v>
      </c>
      <c r="O219" t="str">
        <f t="shared" si="33"/>
        <v>New York</v>
      </c>
      <c r="P219" t="str">
        <f t="shared" si="34"/>
        <v>Gift Card</v>
      </c>
      <c r="Q219" t="str">
        <f t="shared" si="35"/>
        <v>Cancelled</v>
      </c>
      <c r="R219" t="b">
        <f t="shared" si="36"/>
        <v>1</v>
      </c>
      <c r="S219" t="str">
        <f t="shared" si="37"/>
        <v>Feb</v>
      </c>
      <c r="T219" t="str">
        <f t="shared" si="38"/>
        <v>Saturday</v>
      </c>
      <c r="U219" t="str">
        <f t="shared" si="39"/>
        <v>Cancelled</v>
      </c>
    </row>
    <row r="220" spans="1:21" x14ac:dyDescent="0.3">
      <c r="A220" t="s">
        <v>272</v>
      </c>
      <c r="B220" s="1">
        <v>45705</v>
      </c>
      <c r="C220" t="s">
        <v>19</v>
      </c>
      <c r="D220" t="s">
        <v>20</v>
      </c>
      <c r="E220" s="2">
        <v>100</v>
      </c>
      <c r="F220" s="3">
        <v>3</v>
      </c>
      <c r="G220" s="2">
        <v>300</v>
      </c>
      <c r="H220" t="s">
        <v>51</v>
      </c>
      <c r="I220" t="s">
        <v>38</v>
      </c>
      <c r="J220" t="s">
        <v>39</v>
      </c>
      <c r="K220" t="s">
        <v>17</v>
      </c>
      <c r="L220" t="str">
        <f t="shared" si="30"/>
        <v>Headphones</v>
      </c>
      <c r="M220" t="str">
        <f t="shared" si="31"/>
        <v>Electronics</v>
      </c>
      <c r="N220" t="str">
        <f t="shared" si="32"/>
        <v>David Lee</v>
      </c>
      <c r="O220" t="str">
        <f t="shared" si="33"/>
        <v>Houston</v>
      </c>
      <c r="P220" t="str">
        <f t="shared" si="34"/>
        <v>Paypal</v>
      </c>
      <c r="Q220" t="str">
        <f t="shared" si="35"/>
        <v>Cancelled</v>
      </c>
      <c r="R220" t="b">
        <f t="shared" si="36"/>
        <v>1</v>
      </c>
      <c r="S220" t="str">
        <f t="shared" si="37"/>
        <v>Feb</v>
      </c>
      <c r="T220" t="str">
        <f t="shared" si="38"/>
        <v>Monday</v>
      </c>
      <c r="U220" t="str">
        <f t="shared" si="39"/>
        <v>Cancelled</v>
      </c>
    </row>
    <row r="221" spans="1:21" x14ac:dyDescent="0.3">
      <c r="A221" t="s">
        <v>273</v>
      </c>
      <c r="B221" s="1">
        <v>45698</v>
      </c>
      <c r="C221" t="s">
        <v>33</v>
      </c>
      <c r="D221" t="s">
        <v>20</v>
      </c>
      <c r="E221" s="2">
        <v>150</v>
      </c>
      <c r="F221" s="3">
        <v>3</v>
      </c>
      <c r="G221" s="2">
        <v>450</v>
      </c>
      <c r="H221" t="s">
        <v>54</v>
      </c>
      <c r="I221" t="s">
        <v>26</v>
      </c>
      <c r="J221" t="s">
        <v>16</v>
      </c>
      <c r="K221" t="s">
        <v>40</v>
      </c>
      <c r="L221" t="str">
        <f t="shared" si="30"/>
        <v>Smartwatch</v>
      </c>
      <c r="M221" t="str">
        <f t="shared" si="31"/>
        <v>Electronics</v>
      </c>
      <c r="N221" t="str">
        <f t="shared" si="32"/>
        <v>Michael Brown</v>
      </c>
      <c r="O221" t="str">
        <f t="shared" si="33"/>
        <v>Denver</v>
      </c>
      <c r="P221" t="str">
        <f t="shared" si="34"/>
        <v>Debit Card</v>
      </c>
      <c r="Q221" t="str">
        <f t="shared" si="35"/>
        <v>Completed</v>
      </c>
      <c r="R221" t="b">
        <f t="shared" si="36"/>
        <v>1</v>
      </c>
      <c r="S221" t="str">
        <f t="shared" si="37"/>
        <v>Feb</v>
      </c>
      <c r="T221" t="str">
        <f t="shared" si="38"/>
        <v>Monday</v>
      </c>
      <c r="U221" t="str">
        <f t="shared" si="39"/>
        <v>Completed</v>
      </c>
    </row>
    <row r="222" spans="1:21" x14ac:dyDescent="0.3">
      <c r="A222" t="s">
        <v>274</v>
      </c>
      <c r="B222" s="1">
        <v>45716</v>
      </c>
      <c r="C222" t="s">
        <v>60</v>
      </c>
      <c r="D222" t="s">
        <v>61</v>
      </c>
      <c r="E222" s="2">
        <v>600</v>
      </c>
      <c r="F222" s="3">
        <v>2</v>
      </c>
      <c r="G222" s="2">
        <v>1200</v>
      </c>
      <c r="H222" t="s">
        <v>21</v>
      </c>
      <c r="I222" t="s">
        <v>81</v>
      </c>
      <c r="J222" t="s">
        <v>58</v>
      </c>
      <c r="K222" t="s">
        <v>17</v>
      </c>
      <c r="L222" t="str">
        <f t="shared" si="30"/>
        <v>Washing Machine</v>
      </c>
      <c r="M222" t="str">
        <f t="shared" si="31"/>
        <v>Home Appliances</v>
      </c>
      <c r="N222" t="str">
        <f t="shared" si="32"/>
        <v>Emily Johnson</v>
      </c>
      <c r="O222" t="str">
        <f t="shared" si="33"/>
        <v>Chicago</v>
      </c>
      <c r="P222" t="str">
        <f t="shared" si="34"/>
        <v>Gift Card</v>
      </c>
      <c r="Q222" t="str">
        <f t="shared" si="35"/>
        <v>Cancelled</v>
      </c>
      <c r="R222" t="b">
        <f t="shared" si="36"/>
        <v>1</v>
      </c>
      <c r="S222" t="str">
        <f t="shared" si="37"/>
        <v>Feb</v>
      </c>
      <c r="T222" t="str">
        <f t="shared" si="38"/>
        <v>Friday</v>
      </c>
      <c r="U222" t="str">
        <f t="shared" si="39"/>
        <v>Cancelled</v>
      </c>
    </row>
    <row r="223" spans="1:21" x14ac:dyDescent="0.3">
      <c r="A223" t="s">
        <v>275</v>
      </c>
      <c r="B223" s="1">
        <v>45704</v>
      </c>
      <c r="C223" t="s">
        <v>60</v>
      </c>
      <c r="D223" t="s">
        <v>61</v>
      </c>
      <c r="E223" s="2">
        <v>600</v>
      </c>
      <c r="F223" s="3">
        <v>2</v>
      </c>
      <c r="G223" s="2">
        <v>1200</v>
      </c>
      <c r="H223" t="s">
        <v>72</v>
      </c>
      <c r="I223" t="s">
        <v>63</v>
      </c>
      <c r="J223" t="s">
        <v>39</v>
      </c>
      <c r="K223" t="s">
        <v>17</v>
      </c>
      <c r="L223" t="str">
        <f t="shared" si="30"/>
        <v>Washing Machine</v>
      </c>
      <c r="M223" t="str">
        <f t="shared" si="31"/>
        <v>Home Appliances</v>
      </c>
      <c r="N223" t="str">
        <f t="shared" si="32"/>
        <v>Chris White</v>
      </c>
      <c r="O223" t="str">
        <f t="shared" si="33"/>
        <v>Seattle</v>
      </c>
      <c r="P223" t="str">
        <f t="shared" si="34"/>
        <v>Paypal</v>
      </c>
      <c r="Q223" t="str">
        <f t="shared" si="35"/>
        <v>Cancelled</v>
      </c>
      <c r="R223" t="b">
        <f t="shared" si="36"/>
        <v>1</v>
      </c>
      <c r="S223" t="str">
        <f t="shared" si="37"/>
        <v>Feb</v>
      </c>
      <c r="T223" t="str">
        <f t="shared" si="38"/>
        <v>Sunday</v>
      </c>
      <c r="U223" t="str">
        <f t="shared" si="39"/>
        <v>Cancelled</v>
      </c>
    </row>
    <row r="224" spans="1:21" x14ac:dyDescent="0.3">
      <c r="A224" t="s">
        <v>276</v>
      </c>
      <c r="B224" s="1">
        <v>45740</v>
      </c>
      <c r="C224" t="s">
        <v>53</v>
      </c>
      <c r="D224" t="s">
        <v>36</v>
      </c>
      <c r="E224" s="2">
        <v>40</v>
      </c>
      <c r="F224" s="3">
        <v>2</v>
      </c>
      <c r="G224" s="2">
        <v>80</v>
      </c>
      <c r="H224" t="s">
        <v>51</v>
      </c>
      <c r="I224" t="s">
        <v>26</v>
      </c>
      <c r="J224" t="s">
        <v>27</v>
      </c>
      <c r="K224" t="s">
        <v>17</v>
      </c>
      <c r="L224" t="str">
        <f t="shared" si="30"/>
        <v>Jeans</v>
      </c>
      <c r="M224" t="str">
        <f t="shared" si="31"/>
        <v>Clothing</v>
      </c>
      <c r="N224" t="str">
        <f t="shared" si="32"/>
        <v>David Lee</v>
      </c>
      <c r="O224" t="str">
        <f t="shared" si="33"/>
        <v>Denver</v>
      </c>
      <c r="P224" t="str">
        <f t="shared" si="34"/>
        <v>Amazon Pay</v>
      </c>
      <c r="Q224" t="str">
        <f t="shared" si="35"/>
        <v>Cancelled</v>
      </c>
      <c r="R224" t="b">
        <f t="shared" si="36"/>
        <v>1</v>
      </c>
      <c r="S224" t="str">
        <f t="shared" si="37"/>
        <v>Mar</v>
      </c>
      <c r="T224" t="str">
        <f t="shared" si="38"/>
        <v>Monday</v>
      </c>
      <c r="U224" t="str">
        <f t="shared" si="39"/>
        <v>Cancelled</v>
      </c>
    </row>
    <row r="225" spans="1:21" x14ac:dyDescent="0.3">
      <c r="A225" t="s">
        <v>277</v>
      </c>
      <c r="B225" s="1">
        <v>45734</v>
      </c>
      <c r="C225" t="s">
        <v>65</v>
      </c>
      <c r="D225" t="s">
        <v>61</v>
      </c>
      <c r="E225" s="2">
        <v>1200</v>
      </c>
      <c r="F225" s="3">
        <v>1</v>
      </c>
      <c r="G225" s="2">
        <v>1200</v>
      </c>
      <c r="H225" t="s">
        <v>80</v>
      </c>
      <c r="I225" t="s">
        <v>44</v>
      </c>
      <c r="J225" t="s">
        <v>39</v>
      </c>
      <c r="K225" t="s">
        <v>40</v>
      </c>
      <c r="L225" t="str">
        <f t="shared" si="30"/>
        <v>Refrigerator</v>
      </c>
      <c r="M225" t="str">
        <f t="shared" si="31"/>
        <v>Home Appliances</v>
      </c>
      <c r="N225" t="str">
        <f t="shared" si="32"/>
        <v>Jane Smith</v>
      </c>
      <c r="O225" t="str">
        <f t="shared" si="33"/>
        <v>Miami</v>
      </c>
      <c r="P225" t="str">
        <f t="shared" si="34"/>
        <v>Paypal</v>
      </c>
      <c r="Q225" t="str">
        <f t="shared" si="35"/>
        <v>Completed</v>
      </c>
      <c r="R225" t="b">
        <f t="shared" si="36"/>
        <v>1</v>
      </c>
      <c r="S225" t="str">
        <f t="shared" si="37"/>
        <v>Mar</v>
      </c>
      <c r="T225" t="str">
        <f t="shared" si="38"/>
        <v>Tuesday</v>
      </c>
      <c r="U225" t="str">
        <f t="shared" si="39"/>
        <v>Completed</v>
      </c>
    </row>
    <row r="226" spans="1:21" x14ac:dyDescent="0.3">
      <c r="A226" t="s">
        <v>278</v>
      </c>
      <c r="B226" s="1">
        <v>45727</v>
      </c>
      <c r="C226" t="s">
        <v>53</v>
      </c>
      <c r="D226" t="s">
        <v>36</v>
      </c>
      <c r="E226" s="2">
        <v>40</v>
      </c>
      <c r="F226" s="3">
        <v>1</v>
      </c>
      <c r="G226" s="2">
        <v>40</v>
      </c>
      <c r="H226" t="s">
        <v>43</v>
      </c>
      <c r="I226" t="s">
        <v>15</v>
      </c>
      <c r="J226" t="s">
        <v>58</v>
      </c>
      <c r="K226" t="s">
        <v>17</v>
      </c>
      <c r="L226" t="str">
        <f t="shared" si="30"/>
        <v>Jeans</v>
      </c>
      <c r="M226" t="str">
        <f t="shared" si="31"/>
        <v>Clothing</v>
      </c>
      <c r="N226" t="str">
        <f t="shared" si="32"/>
        <v>Sophia Miller</v>
      </c>
      <c r="O226" t="str">
        <f t="shared" si="33"/>
        <v>New York</v>
      </c>
      <c r="P226" t="str">
        <f t="shared" si="34"/>
        <v>Gift Card</v>
      </c>
      <c r="Q226" t="str">
        <f t="shared" si="35"/>
        <v>Cancelled</v>
      </c>
      <c r="R226" t="b">
        <f t="shared" si="36"/>
        <v>1</v>
      </c>
      <c r="S226" t="str">
        <f t="shared" si="37"/>
        <v>Mar</v>
      </c>
      <c r="T226" t="str">
        <f t="shared" si="38"/>
        <v>Tuesday</v>
      </c>
      <c r="U226" t="str">
        <f t="shared" si="39"/>
        <v>Cancelled</v>
      </c>
    </row>
    <row r="227" spans="1:21" x14ac:dyDescent="0.3">
      <c r="A227" t="s">
        <v>279</v>
      </c>
      <c r="B227" s="1">
        <v>45721</v>
      </c>
      <c r="C227" t="s">
        <v>12</v>
      </c>
      <c r="D227" t="s">
        <v>13</v>
      </c>
      <c r="E227" s="2">
        <v>60</v>
      </c>
      <c r="F227" s="3">
        <v>4</v>
      </c>
      <c r="G227" s="2">
        <v>240</v>
      </c>
      <c r="H227" t="s">
        <v>72</v>
      </c>
      <c r="I227" t="s">
        <v>81</v>
      </c>
      <c r="J227" t="s">
        <v>27</v>
      </c>
      <c r="K227" t="s">
        <v>40</v>
      </c>
      <c r="L227" t="str">
        <f t="shared" si="30"/>
        <v>Running Shoes</v>
      </c>
      <c r="M227" t="str">
        <f t="shared" si="31"/>
        <v>Footwear</v>
      </c>
      <c r="N227" t="str">
        <f t="shared" si="32"/>
        <v>Chris White</v>
      </c>
      <c r="O227" t="str">
        <f t="shared" si="33"/>
        <v>Chicago</v>
      </c>
      <c r="P227" t="str">
        <f t="shared" si="34"/>
        <v>Amazon Pay</v>
      </c>
      <c r="Q227" t="str">
        <f t="shared" si="35"/>
        <v>Completed</v>
      </c>
      <c r="R227" t="b">
        <f t="shared" si="36"/>
        <v>1</v>
      </c>
      <c r="S227" t="str">
        <f t="shared" si="37"/>
        <v>Mar</v>
      </c>
      <c r="T227" t="str">
        <f t="shared" si="38"/>
        <v>Wednesday</v>
      </c>
      <c r="U227" t="str">
        <f t="shared" si="39"/>
        <v>Completed</v>
      </c>
    </row>
    <row r="228" spans="1:21" x14ac:dyDescent="0.3">
      <c r="A228" t="s">
        <v>280</v>
      </c>
      <c r="B228" s="1">
        <v>45749</v>
      </c>
      <c r="C228" t="s">
        <v>19</v>
      </c>
      <c r="D228" t="s">
        <v>20</v>
      </c>
      <c r="E228" s="2">
        <v>100</v>
      </c>
      <c r="F228" s="3">
        <v>5</v>
      </c>
      <c r="G228" s="2">
        <v>500</v>
      </c>
      <c r="H228" t="s">
        <v>14</v>
      </c>
      <c r="I228" t="s">
        <v>44</v>
      </c>
      <c r="J228" t="s">
        <v>27</v>
      </c>
      <c r="K228" t="s">
        <v>17</v>
      </c>
      <c r="L228" t="str">
        <f t="shared" si="30"/>
        <v>Headphones</v>
      </c>
      <c r="M228" t="str">
        <f t="shared" si="31"/>
        <v>Electronics</v>
      </c>
      <c r="N228" t="str">
        <f t="shared" si="32"/>
        <v>Emma Clark</v>
      </c>
      <c r="O228" t="str">
        <f t="shared" si="33"/>
        <v>Miami</v>
      </c>
      <c r="P228" t="str">
        <f t="shared" si="34"/>
        <v>Amazon Pay</v>
      </c>
      <c r="Q228" t="str">
        <f t="shared" si="35"/>
        <v>Cancelled</v>
      </c>
      <c r="R228" t="b">
        <f t="shared" si="36"/>
        <v>1</v>
      </c>
      <c r="S228" t="str">
        <f t="shared" si="37"/>
        <v>Apr</v>
      </c>
      <c r="T228" t="str">
        <f t="shared" si="38"/>
        <v>Wednesday</v>
      </c>
      <c r="U228" t="str">
        <f t="shared" si="39"/>
        <v>Cancelled</v>
      </c>
    </row>
    <row r="229" spans="1:21" x14ac:dyDescent="0.3">
      <c r="A229" t="s">
        <v>281</v>
      </c>
      <c r="B229" s="1">
        <v>45700</v>
      </c>
      <c r="C229" t="s">
        <v>12</v>
      </c>
      <c r="D229" t="s">
        <v>13</v>
      </c>
      <c r="E229" s="2">
        <v>60</v>
      </c>
      <c r="F229" s="3">
        <v>1</v>
      </c>
      <c r="G229" s="2">
        <v>60</v>
      </c>
      <c r="H229" t="s">
        <v>51</v>
      </c>
      <c r="I229" t="s">
        <v>22</v>
      </c>
      <c r="J229" t="s">
        <v>31</v>
      </c>
      <c r="K229" t="s">
        <v>23</v>
      </c>
      <c r="L229" t="str">
        <f t="shared" si="30"/>
        <v>Running Shoes</v>
      </c>
      <c r="M229" t="str">
        <f t="shared" si="31"/>
        <v>Footwear</v>
      </c>
      <c r="N229" t="str">
        <f t="shared" si="32"/>
        <v>David Lee</v>
      </c>
      <c r="O229" t="str">
        <f t="shared" si="33"/>
        <v>San Francisco</v>
      </c>
      <c r="P229" t="str">
        <f t="shared" si="34"/>
        <v>Credit Card</v>
      </c>
      <c r="Q229" t="str">
        <f t="shared" si="35"/>
        <v>Pending</v>
      </c>
      <c r="R229" t="b">
        <f t="shared" si="36"/>
        <v>1</v>
      </c>
      <c r="S229" t="str">
        <f t="shared" si="37"/>
        <v>Feb</v>
      </c>
      <c r="T229" t="str">
        <f t="shared" si="38"/>
        <v>Wednesday</v>
      </c>
      <c r="U229" t="str">
        <f t="shared" si="39"/>
        <v>Pending</v>
      </c>
    </row>
    <row r="230" spans="1:21" x14ac:dyDescent="0.3">
      <c r="A230" t="s">
        <v>282</v>
      </c>
      <c r="B230" s="1">
        <v>45737</v>
      </c>
      <c r="C230" t="s">
        <v>12</v>
      </c>
      <c r="D230" t="s">
        <v>13</v>
      </c>
      <c r="E230" s="2">
        <v>60</v>
      </c>
      <c r="F230" s="3">
        <v>3</v>
      </c>
      <c r="G230" s="2">
        <v>180</v>
      </c>
      <c r="H230" t="s">
        <v>14</v>
      </c>
      <c r="I230" t="s">
        <v>22</v>
      </c>
      <c r="J230" t="s">
        <v>31</v>
      </c>
      <c r="K230" t="s">
        <v>23</v>
      </c>
      <c r="L230" t="str">
        <f t="shared" si="30"/>
        <v>Running Shoes</v>
      </c>
      <c r="M230" t="str">
        <f t="shared" si="31"/>
        <v>Footwear</v>
      </c>
      <c r="N230" t="str">
        <f t="shared" si="32"/>
        <v>Emma Clark</v>
      </c>
      <c r="O230" t="str">
        <f t="shared" si="33"/>
        <v>San Francisco</v>
      </c>
      <c r="P230" t="str">
        <f t="shared" si="34"/>
        <v>Credit Card</v>
      </c>
      <c r="Q230" t="str">
        <f t="shared" si="35"/>
        <v>Pending</v>
      </c>
      <c r="R230" t="b">
        <f t="shared" si="36"/>
        <v>1</v>
      </c>
      <c r="S230" t="str">
        <f t="shared" si="37"/>
        <v>Mar</v>
      </c>
      <c r="T230" t="str">
        <f t="shared" si="38"/>
        <v>Friday</v>
      </c>
      <c r="U230" t="str">
        <f t="shared" si="39"/>
        <v>Pending</v>
      </c>
    </row>
    <row r="231" spans="1:21" x14ac:dyDescent="0.3">
      <c r="A231" t="s">
        <v>283</v>
      </c>
      <c r="B231" s="1">
        <v>45747</v>
      </c>
      <c r="C231" t="s">
        <v>19</v>
      </c>
      <c r="D231" t="s">
        <v>20</v>
      </c>
      <c r="E231" s="2">
        <v>100</v>
      </c>
      <c r="F231" s="3">
        <v>4</v>
      </c>
      <c r="G231" s="2">
        <v>400</v>
      </c>
      <c r="H231" t="s">
        <v>80</v>
      </c>
      <c r="I231" t="s">
        <v>22</v>
      </c>
      <c r="J231" t="s">
        <v>27</v>
      </c>
      <c r="K231" t="s">
        <v>23</v>
      </c>
      <c r="L231" t="str">
        <f t="shared" si="30"/>
        <v>Headphones</v>
      </c>
      <c r="M231" t="str">
        <f t="shared" si="31"/>
        <v>Electronics</v>
      </c>
      <c r="N231" t="str">
        <f t="shared" si="32"/>
        <v>Jane Smith</v>
      </c>
      <c r="O231" t="str">
        <f t="shared" si="33"/>
        <v>San Francisco</v>
      </c>
      <c r="P231" t="str">
        <f t="shared" si="34"/>
        <v>Amazon Pay</v>
      </c>
      <c r="Q231" t="str">
        <f t="shared" si="35"/>
        <v>Pending</v>
      </c>
      <c r="R231" t="b">
        <f t="shared" si="36"/>
        <v>1</v>
      </c>
      <c r="S231" t="str">
        <f t="shared" si="37"/>
        <v>Mar</v>
      </c>
      <c r="T231" t="str">
        <f t="shared" si="38"/>
        <v>Monday</v>
      </c>
      <c r="U231" t="str">
        <f t="shared" si="39"/>
        <v>Pending</v>
      </c>
    </row>
    <row r="232" spans="1:21" x14ac:dyDescent="0.3">
      <c r="A232" t="s">
        <v>284</v>
      </c>
      <c r="B232" s="1">
        <v>45704</v>
      </c>
      <c r="C232" t="s">
        <v>56</v>
      </c>
      <c r="D232" t="s">
        <v>20</v>
      </c>
      <c r="E232" s="2">
        <v>800</v>
      </c>
      <c r="F232" s="3">
        <v>5</v>
      </c>
      <c r="G232" s="2">
        <v>4000</v>
      </c>
      <c r="H232" t="s">
        <v>80</v>
      </c>
      <c r="I232" t="s">
        <v>46</v>
      </c>
      <c r="J232" t="s">
        <v>31</v>
      </c>
      <c r="K232" t="s">
        <v>17</v>
      </c>
      <c r="L232" t="str">
        <f t="shared" si="30"/>
        <v>Laptop</v>
      </c>
      <c r="M232" t="str">
        <f t="shared" si="31"/>
        <v>Electronics</v>
      </c>
      <c r="N232" t="str">
        <f t="shared" si="32"/>
        <v>Jane Smith</v>
      </c>
      <c r="O232" t="str">
        <f t="shared" si="33"/>
        <v>Boston</v>
      </c>
      <c r="P232" t="str">
        <f t="shared" si="34"/>
        <v>Credit Card</v>
      </c>
      <c r="Q232" t="str">
        <f t="shared" si="35"/>
        <v>Cancelled</v>
      </c>
      <c r="R232" t="b">
        <f t="shared" si="36"/>
        <v>1</v>
      </c>
      <c r="S232" t="str">
        <f t="shared" si="37"/>
        <v>Feb</v>
      </c>
      <c r="T232" t="str">
        <f t="shared" si="38"/>
        <v>Sunday</v>
      </c>
      <c r="U232" t="str">
        <f t="shared" si="39"/>
        <v>Cancelled</v>
      </c>
    </row>
    <row r="233" spans="1:21" x14ac:dyDescent="0.3">
      <c r="A233" t="s">
        <v>285</v>
      </c>
      <c r="B233" s="1">
        <v>45730</v>
      </c>
      <c r="C233" t="s">
        <v>65</v>
      </c>
      <c r="D233" t="s">
        <v>61</v>
      </c>
      <c r="E233" s="2">
        <v>1200</v>
      </c>
      <c r="F233" s="3">
        <v>3</v>
      </c>
      <c r="G233" s="2">
        <v>3600</v>
      </c>
      <c r="H233" t="s">
        <v>14</v>
      </c>
      <c r="I233" t="s">
        <v>68</v>
      </c>
      <c r="J233" t="s">
        <v>31</v>
      </c>
      <c r="K233" t="s">
        <v>40</v>
      </c>
      <c r="L233" t="str">
        <f t="shared" si="30"/>
        <v>Refrigerator</v>
      </c>
      <c r="M233" t="str">
        <f t="shared" si="31"/>
        <v>Home Appliances</v>
      </c>
      <c r="N233" t="str">
        <f t="shared" si="32"/>
        <v>Emma Clark</v>
      </c>
      <c r="O233" t="str">
        <f t="shared" si="33"/>
        <v>Los Angeles</v>
      </c>
      <c r="P233" t="str">
        <f t="shared" si="34"/>
        <v>Credit Card</v>
      </c>
      <c r="Q233" t="str">
        <f t="shared" si="35"/>
        <v>Completed</v>
      </c>
      <c r="R233" t="b">
        <f t="shared" si="36"/>
        <v>1</v>
      </c>
      <c r="S233" t="str">
        <f t="shared" si="37"/>
        <v>Mar</v>
      </c>
      <c r="T233" t="str">
        <f t="shared" si="38"/>
        <v>Friday</v>
      </c>
      <c r="U233" t="str">
        <f t="shared" si="39"/>
        <v>Completed</v>
      </c>
    </row>
    <row r="234" spans="1:21" x14ac:dyDescent="0.3">
      <c r="A234" t="s">
        <v>286</v>
      </c>
      <c r="B234" s="1">
        <v>45708</v>
      </c>
      <c r="C234" t="s">
        <v>12</v>
      </c>
      <c r="D234" t="s">
        <v>13</v>
      </c>
      <c r="E234" s="2">
        <v>60</v>
      </c>
      <c r="F234" s="3">
        <v>1</v>
      </c>
      <c r="G234" s="2">
        <v>60</v>
      </c>
      <c r="H234" t="s">
        <v>51</v>
      </c>
      <c r="I234" t="s">
        <v>46</v>
      </c>
      <c r="J234" t="s">
        <v>39</v>
      </c>
      <c r="K234" t="s">
        <v>17</v>
      </c>
      <c r="L234" t="str">
        <f t="shared" si="30"/>
        <v>Running Shoes</v>
      </c>
      <c r="M234" t="str">
        <f t="shared" si="31"/>
        <v>Footwear</v>
      </c>
      <c r="N234" t="str">
        <f t="shared" si="32"/>
        <v>David Lee</v>
      </c>
      <c r="O234" t="str">
        <f t="shared" si="33"/>
        <v>Boston</v>
      </c>
      <c r="P234" t="str">
        <f t="shared" si="34"/>
        <v>Paypal</v>
      </c>
      <c r="Q234" t="str">
        <f t="shared" si="35"/>
        <v>Cancelled</v>
      </c>
      <c r="R234" t="b">
        <f t="shared" si="36"/>
        <v>1</v>
      </c>
      <c r="S234" t="str">
        <f t="shared" si="37"/>
        <v>Feb</v>
      </c>
      <c r="T234" t="str">
        <f t="shared" si="38"/>
        <v>Thursday</v>
      </c>
      <c r="U234" t="str">
        <f t="shared" si="39"/>
        <v>Cancelled</v>
      </c>
    </row>
    <row r="235" spans="1:21" x14ac:dyDescent="0.3">
      <c r="A235" t="s">
        <v>287</v>
      </c>
      <c r="B235" s="1">
        <v>45724</v>
      </c>
      <c r="C235" t="s">
        <v>49</v>
      </c>
      <c r="D235" t="s">
        <v>50</v>
      </c>
      <c r="E235" s="2">
        <v>15</v>
      </c>
      <c r="F235" s="3">
        <v>1</v>
      </c>
      <c r="G235" s="2">
        <v>15</v>
      </c>
      <c r="H235" t="s">
        <v>80</v>
      </c>
      <c r="I235" t="s">
        <v>44</v>
      </c>
      <c r="J235" t="s">
        <v>27</v>
      </c>
      <c r="K235" t="s">
        <v>17</v>
      </c>
      <c r="L235" t="str">
        <f t="shared" si="30"/>
        <v>Book</v>
      </c>
      <c r="M235" t="str">
        <f t="shared" si="31"/>
        <v>Books</v>
      </c>
      <c r="N235" t="str">
        <f t="shared" si="32"/>
        <v>Jane Smith</v>
      </c>
      <c r="O235" t="str">
        <f t="shared" si="33"/>
        <v>Miami</v>
      </c>
      <c r="P235" t="str">
        <f t="shared" si="34"/>
        <v>Amazon Pay</v>
      </c>
      <c r="Q235" t="str">
        <f t="shared" si="35"/>
        <v>Cancelled</v>
      </c>
      <c r="R235" t="b">
        <f t="shared" si="36"/>
        <v>1</v>
      </c>
      <c r="S235" t="str">
        <f t="shared" si="37"/>
        <v>Mar</v>
      </c>
      <c r="T235" t="str">
        <f t="shared" si="38"/>
        <v>Saturday</v>
      </c>
      <c r="U235" t="str">
        <f t="shared" si="39"/>
        <v>Cancelled</v>
      </c>
    </row>
    <row r="236" spans="1:21" x14ac:dyDescent="0.3">
      <c r="A236" t="s">
        <v>288</v>
      </c>
      <c r="B236" s="1">
        <v>45739</v>
      </c>
      <c r="C236" t="s">
        <v>65</v>
      </c>
      <c r="D236" t="s">
        <v>61</v>
      </c>
      <c r="E236" s="2">
        <v>1200</v>
      </c>
      <c r="F236" s="3">
        <v>1</v>
      </c>
      <c r="G236" s="2">
        <v>1200</v>
      </c>
      <c r="H236" t="s">
        <v>57</v>
      </c>
      <c r="I236" t="s">
        <v>30</v>
      </c>
      <c r="J236" t="s">
        <v>39</v>
      </c>
      <c r="K236" t="s">
        <v>40</v>
      </c>
      <c r="L236" t="str">
        <f t="shared" si="30"/>
        <v>Refrigerator</v>
      </c>
      <c r="M236" t="str">
        <f t="shared" si="31"/>
        <v>Home Appliances</v>
      </c>
      <c r="N236" t="str">
        <f t="shared" si="32"/>
        <v>Daniel Harris</v>
      </c>
      <c r="O236" t="str">
        <f t="shared" si="33"/>
        <v>Dallas</v>
      </c>
      <c r="P236" t="str">
        <f t="shared" si="34"/>
        <v>Paypal</v>
      </c>
      <c r="Q236" t="str">
        <f t="shared" si="35"/>
        <v>Completed</v>
      </c>
      <c r="R236" t="b">
        <f t="shared" si="36"/>
        <v>1</v>
      </c>
      <c r="S236" t="str">
        <f t="shared" si="37"/>
        <v>Mar</v>
      </c>
      <c r="T236" t="str">
        <f t="shared" si="38"/>
        <v>Sunday</v>
      </c>
      <c r="U236" t="str">
        <f t="shared" si="39"/>
        <v>Completed</v>
      </c>
    </row>
    <row r="237" spans="1:21" x14ac:dyDescent="0.3">
      <c r="A237" t="s">
        <v>289</v>
      </c>
      <c r="B237" s="1">
        <v>45721</v>
      </c>
      <c r="C237" t="s">
        <v>42</v>
      </c>
      <c r="D237" t="s">
        <v>20</v>
      </c>
      <c r="E237" s="2">
        <v>500</v>
      </c>
      <c r="F237" s="3">
        <v>5</v>
      </c>
      <c r="G237" s="2">
        <v>2500</v>
      </c>
      <c r="H237" t="s">
        <v>25</v>
      </c>
      <c r="I237" t="s">
        <v>46</v>
      </c>
      <c r="J237" t="s">
        <v>39</v>
      </c>
      <c r="K237" t="s">
        <v>40</v>
      </c>
      <c r="L237" t="str">
        <f t="shared" si="30"/>
        <v>Smartphone</v>
      </c>
      <c r="M237" t="str">
        <f t="shared" si="31"/>
        <v>Electronics</v>
      </c>
      <c r="N237" t="str">
        <f t="shared" si="32"/>
        <v>John Doe</v>
      </c>
      <c r="O237" t="str">
        <f t="shared" si="33"/>
        <v>Boston</v>
      </c>
      <c r="P237" t="str">
        <f t="shared" si="34"/>
        <v>Paypal</v>
      </c>
      <c r="Q237" t="str">
        <f t="shared" si="35"/>
        <v>Completed</v>
      </c>
      <c r="R237" t="b">
        <f t="shared" si="36"/>
        <v>1</v>
      </c>
      <c r="S237" t="str">
        <f t="shared" si="37"/>
        <v>Mar</v>
      </c>
      <c r="T237" t="str">
        <f t="shared" si="38"/>
        <v>Wednesday</v>
      </c>
      <c r="U237" t="str">
        <f t="shared" si="39"/>
        <v>Completed</v>
      </c>
    </row>
    <row r="238" spans="1:21" x14ac:dyDescent="0.3">
      <c r="A238" t="s">
        <v>290</v>
      </c>
      <c r="B238" s="1">
        <v>45699</v>
      </c>
      <c r="C238" t="s">
        <v>19</v>
      </c>
      <c r="D238" t="s">
        <v>20</v>
      </c>
      <c r="E238" s="2">
        <v>100</v>
      </c>
      <c r="F238" s="3">
        <v>3</v>
      </c>
      <c r="G238" s="2">
        <v>300</v>
      </c>
      <c r="H238" t="s">
        <v>54</v>
      </c>
      <c r="I238" t="s">
        <v>38</v>
      </c>
      <c r="J238" t="s">
        <v>16</v>
      </c>
      <c r="K238" t="s">
        <v>17</v>
      </c>
      <c r="L238" t="str">
        <f t="shared" si="30"/>
        <v>Headphones</v>
      </c>
      <c r="M238" t="str">
        <f t="shared" si="31"/>
        <v>Electronics</v>
      </c>
      <c r="N238" t="str">
        <f t="shared" si="32"/>
        <v>Michael Brown</v>
      </c>
      <c r="O238" t="str">
        <f t="shared" si="33"/>
        <v>Houston</v>
      </c>
      <c r="P238" t="str">
        <f t="shared" si="34"/>
        <v>Debit Card</v>
      </c>
      <c r="Q238" t="str">
        <f t="shared" si="35"/>
        <v>Cancelled</v>
      </c>
      <c r="R238" t="b">
        <f t="shared" si="36"/>
        <v>1</v>
      </c>
      <c r="S238" t="str">
        <f t="shared" si="37"/>
        <v>Feb</v>
      </c>
      <c r="T238" t="str">
        <f t="shared" si="38"/>
        <v>Tuesday</v>
      </c>
      <c r="U238" t="str">
        <f t="shared" si="39"/>
        <v>Cancelled</v>
      </c>
    </row>
    <row r="239" spans="1:21" x14ac:dyDescent="0.3">
      <c r="A239" t="s">
        <v>291</v>
      </c>
      <c r="B239" s="1">
        <v>45732</v>
      </c>
      <c r="C239" t="s">
        <v>19</v>
      </c>
      <c r="D239" t="s">
        <v>20</v>
      </c>
      <c r="E239" s="2">
        <v>100</v>
      </c>
      <c r="F239" s="3">
        <v>1</v>
      </c>
      <c r="G239" s="2">
        <v>100</v>
      </c>
      <c r="H239" t="s">
        <v>29</v>
      </c>
      <c r="I239" t="s">
        <v>26</v>
      </c>
      <c r="J239" t="s">
        <v>39</v>
      </c>
      <c r="K239" t="s">
        <v>40</v>
      </c>
      <c r="L239" t="str">
        <f t="shared" si="30"/>
        <v>Headphones</v>
      </c>
      <c r="M239" t="str">
        <f t="shared" si="31"/>
        <v>Electronics</v>
      </c>
      <c r="N239" t="str">
        <f t="shared" si="32"/>
        <v>Olivia Wilson</v>
      </c>
      <c r="O239" t="str">
        <f t="shared" si="33"/>
        <v>Denver</v>
      </c>
      <c r="P239" t="str">
        <f t="shared" si="34"/>
        <v>Paypal</v>
      </c>
      <c r="Q239" t="str">
        <f t="shared" si="35"/>
        <v>Completed</v>
      </c>
      <c r="R239" t="b">
        <f t="shared" si="36"/>
        <v>1</v>
      </c>
      <c r="S239" t="str">
        <f t="shared" si="37"/>
        <v>Mar</v>
      </c>
      <c r="T239" t="str">
        <f t="shared" si="38"/>
        <v>Sunday</v>
      </c>
      <c r="U239" t="str">
        <f t="shared" si="39"/>
        <v>Completed</v>
      </c>
    </row>
    <row r="240" spans="1:21" x14ac:dyDescent="0.3">
      <c r="A240" t="s">
        <v>292</v>
      </c>
      <c r="B240" s="1">
        <v>45738</v>
      </c>
      <c r="C240" t="s">
        <v>33</v>
      </c>
      <c r="D240" t="s">
        <v>20</v>
      </c>
      <c r="E240" s="2">
        <v>150</v>
      </c>
      <c r="F240" s="3">
        <v>5</v>
      </c>
      <c r="G240" s="2">
        <v>750</v>
      </c>
      <c r="H240" t="s">
        <v>57</v>
      </c>
      <c r="I240" t="s">
        <v>38</v>
      </c>
      <c r="J240" t="s">
        <v>27</v>
      </c>
      <c r="K240" t="s">
        <v>40</v>
      </c>
      <c r="L240" t="str">
        <f t="shared" si="30"/>
        <v>Smartwatch</v>
      </c>
      <c r="M240" t="str">
        <f t="shared" si="31"/>
        <v>Electronics</v>
      </c>
      <c r="N240" t="str">
        <f t="shared" si="32"/>
        <v>Daniel Harris</v>
      </c>
      <c r="O240" t="str">
        <f t="shared" si="33"/>
        <v>Houston</v>
      </c>
      <c r="P240" t="str">
        <f t="shared" si="34"/>
        <v>Amazon Pay</v>
      </c>
      <c r="Q240" t="str">
        <f t="shared" si="35"/>
        <v>Completed</v>
      </c>
      <c r="R240" t="b">
        <f t="shared" si="36"/>
        <v>1</v>
      </c>
      <c r="S240" t="str">
        <f t="shared" si="37"/>
        <v>Mar</v>
      </c>
      <c r="T240" t="str">
        <f t="shared" si="38"/>
        <v>Saturday</v>
      </c>
      <c r="U240" t="str">
        <f t="shared" si="39"/>
        <v>Completed</v>
      </c>
    </row>
    <row r="241" spans="1:21" x14ac:dyDescent="0.3">
      <c r="A241" t="s">
        <v>293</v>
      </c>
      <c r="B241" s="1">
        <v>45697</v>
      </c>
      <c r="C241" t="s">
        <v>33</v>
      </c>
      <c r="D241" t="s">
        <v>20</v>
      </c>
      <c r="E241" s="2">
        <v>150</v>
      </c>
      <c r="F241" s="3">
        <v>1</v>
      </c>
      <c r="G241" s="2">
        <v>150</v>
      </c>
      <c r="H241" t="s">
        <v>25</v>
      </c>
      <c r="I241" t="s">
        <v>26</v>
      </c>
      <c r="J241" t="s">
        <v>58</v>
      </c>
      <c r="K241" t="s">
        <v>23</v>
      </c>
      <c r="L241" t="str">
        <f t="shared" si="30"/>
        <v>Smartwatch</v>
      </c>
      <c r="M241" t="str">
        <f t="shared" si="31"/>
        <v>Electronics</v>
      </c>
      <c r="N241" t="str">
        <f t="shared" si="32"/>
        <v>John Doe</v>
      </c>
      <c r="O241" t="str">
        <f t="shared" si="33"/>
        <v>Denver</v>
      </c>
      <c r="P241" t="str">
        <f t="shared" si="34"/>
        <v>Gift Card</v>
      </c>
      <c r="Q241" t="str">
        <f t="shared" si="35"/>
        <v>Pending</v>
      </c>
      <c r="R241" t="b">
        <f t="shared" si="36"/>
        <v>1</v>
      </c>
      <c r="S241" t="str">
        <f t="shared" si="37"/>
        <v>Feb</v>
      </c>
      <c r="T241" t="str">
        <f t="shared" si="38"/>
        <v>Sunday</v>
      </c>
      <c r="U241" t="str">
        <f t="shared" si="39"/>
        <v>Pending</v>
      </c>
    </row>
    <row r="242" spans="1:21" x14ac:dyDescent="0.3">
      <c r="A242" t="s">
        <v>294</v>
      </c>
      <c r="B242" s="1">
        <v>45746</v>
      </c>
      <c r="C242" t="s">
        <v>42</v>
      </c>
      <c r="D242" t="s">
        <v>20</v>
      </c>
      <c r="E242" s="2">
        <v>500</v>
      </c>
      <c r="F242" s="3">
        <v>4</v>
      </c>
      <c r="G242" s="2">
        <v>2000</v>
      </c>
      <c r="H242" t="s">
        <v>29</v>
      </c>
      <c r="I242" t="s">
        <v>15</v>
      </c>
      <c r="J242" t="s">
        <v>31</v>
      </c>
      <c r="K242" t="s">
        <v>23</v>
      </c>
      <c r="L242" t="str">
        <f t="shared" si="30"/>
        <v>Smartphone</v>
      </c>
      <c r="M242" t="str">
        <f t="shared" si="31"/>
        <v>Electronics</v>
      </c>
      <c r="N242" t="str">
        <f t="shared" si="32"/>
        <v>Olivia Wilson</v>
      </c>
      <c r="O242" t="str">
        <f t="shared" si="33"/>
        <v>New York</v>
      </c>
      <c r="P242" t="str">
        <f t="shared" si="34"/>
        <v>Credit Card</v>
      </c>
      <c r="Q242" t="str">
        <f t="shared" si="35"/>
        <v>Pending</v>
      </c>
      <c r="R242" t="b">
        <f t="shared" si="36"/>
        <v>1</v>
      </c>
      <c r="S242" t="str">
        <f t="shared" si="37"/>
        <v>Mar</v>
      </c>
      <c r="T242" t="str">
        <f t="shared" si="38"/>
        <v>Sunday</v>
      </c>
      <c r="U242" t="str">
        <f t="shared" si="39"/>
        <v>Pending</v>
      </c>
    </row>
    <row r="243" spans="1:21" x14ac:dyDescent="0.3">
      <c r="A243" t="s">
        <v>295</v>
      </c>
      <c r="B243" s="1">
        <v>45724</v>
      </c>
      <c r="C243" t="s">
        <v>42</v>
      </c>
      <c r="D243" t="s">
        <v>20</v>
      </c>
      <c r="E243" s="2">
        <v>500</v>
      </c>
      <c r="F243" s="3">
        <v>4</v>
      </c>
      <c r="G243" s="2">
        <v>2000</v>
      </c>
      <c r="H243" t="s">
        <v>72</v>
      </c>
      <c r="I243" t="s">
        <v>46</v>
      </c>
      <c r="J243" t="s">
        <v>58</v>
      </c>
      <c r="K243" t="s">
        <v>23</v>
      </c>
      <c r="L243" t="str">
        <f t="shared" si="30"/>
        <v>Smartphone</v>
      </c>
      <c r="M243" t="str">
        <f t="shared" si="31"/>
        <v>Electronics</v>
      </c>
      <c r="N243" t="str">
        <f t="shared" si="32"/>
        <v>Chris White</v>
      </c>
      <c r="O243" t="str">
        <f t="shared" si="33"/>
        <v>Boston</v>
      </c>
      <c r="P243" t="str">
        <f t="shared" si="34"/>
        <v>Gift Card</v>
      </c>
      <c r="Q243" t="str">
        <f t="shared" si="35"/>
        <v>Pending</v>
      </c>
      <c r="R243" t="b">
        <f t="shared" si="36"/>
        <v>1</v>
      </c>
      <c r="S243" t="str">
        <f t="shared" si="37"/>
        <v>Mar</v>
      </c>
      <c r="T243" t="str">
        <f t="shared" si="38"/>
        <v>Saturday</v>
      </c>
      <c r="U243" t="str">
        <f t="shared" si="39"/>
        <v>Pending</v>
      </c>
    </row>
    <row r="244" spans="1:21" x14ac:dyDescent="0.3">
      <c r="A244" t="s">
        <v>296</v>
      </c>
      <c r="B244" s="1">
        <v>45721</v>
      </c>
      <c r="C244" t="s">
        <v>12</v>
      </c>
      <c r="D244" t="s">
        <v>13</v>
      </c>
      <c r="E244" s="2">
        <v>60</v>
      </c>
      <c r="F244" s="3">
        <v>2</v>
      </c>
      <c r="G244" s="2">
        <v>120</v>
      </c>
      <c r="H244" t="s">
        <v>72</v>
      </c>
      <c r="I244" t="s">
        <v>38</v>
      </c>
      <c r="J244" t="s">
        <v>27</v>
      </c>
      <c r="K244" t="s">
        <v>40</v>
      </c>
      <c r="L244" t="str">
        <f t="shared" si="30"/>
        <v>Running Shoes</v>
      </c>
      <c r="M244" t="str">
        <f t="shared" si="31"/>
        <v>Footwear</v>
      </c>
      <c r="N244" t="str">
        <f t="shared" si="32"/>
        <v>Chris White</v>
      </c>
      <c r="O244" t="str">
        <f t="shared" si="33"/>
        <v>Houston</v>
      </c>
      <c r="P244" t="str">
        <f t="shared" si="34"/>
        <v>Amazon Pay</v>
      </c>
      <c r="Q244" t="str">
        <f t="shared" si="35"/>
        <v>Completed</v>
      </c>
      <c r="R244" t="b">
        <f t="shared" si="36"/>
        <v>1</v>
      </c>
      <c r="S244" t="str">
        <f t="shared" si="37"/>
        <v>Mar</v>
      </c>
      <c r="T244" t="str">
        <f t="shared" si="38"/>
        <v>Wednesday</v>
      </c>
      <c r="U244" t="str">
        <f t="shared" si="39"/>
        <v>Completed</v>
      </c>
    </row>
    <row r="245" spans="1:21" x14ac:dyDescent="0.3">
      <c r="A245" t="s">
        <v>297</v>
      </c>
      <c r="B245" s="1">
        <v>45694</v>
      </c>
      <c r="C245" t="s">
        <v>42</v>
      </c>
      <c r="D245" t="s">
        <v>20</v>
      </c>
      <c r="E245" s="2">
        <v>500</v>
      </c>
      <c r="F245" s="3">
        <v>4</v>
      </c>
      <c r="G245" s="2">
        <v>2000</v>
      </c>
      <c r="H245" t="s">
        <v>14</v>
      </c>
      <c r="I245" t="s">
        <v>38</v>
      </c>
      <c r="J245" t="s">
        <v>31</v>
      </c>
      <c r="K245" t="s">
        <v>40</v>
      </c>
      <c r="L245" t="str">
        <f t="shared" si="30"/>
        <v>Smartphone</v>
      </c>
      <c r="M245" t="str">
        <f t="shared" si="31"/>
        <v>Electronics</v>
      </c>
      <c r="N245" t="str">
        <f t="shared" si="32"/>
        <v>Emma Clark</v>
      </c>
      <c r="O245" t="str">
        <f t="shared" si="33"/>
        <v>Houston</v>
      </c>
      <c r="P245" t="str">
        <f t="shared" si="34"/>
        <v>Credit Card</v>
      </c>
      <c r="Q245" t="str">
        <f t="shared" si="35"/>
        <v>Completed</v>
      </c>
      <c r="R245" t="b">
        <f t="shared" si="36"/>
        <v>1</v>
      </c>
      <c r="S245" t="str">
        <f t="shared" si="37"/>
        <v>Feb</v>
      </c>
      <c r="T245" t="str">
        <f t="shared" si="38"/>
        <v>Thursday</v>
      </c>
      <c r="U245" t="str">
        <f t="shared" si="39"/>
        <v>Completed</v>
      </c>
    </row>
    <row r="246" spans="1:21" x14ac:dyDescent="0.3">
      <c r="A246" t="s">
        <v>298</v>
      </c>
      <c r="B246" s="1">
        <v>45692</v>
      </c>
      <c r="C246" t="s">
        <v>56</v>
      </c>
      <c r="D246" t="s">
        <v>20</v>
      </c>
      <c r="E246" s="2">
        <v>800</v>
      </c>
      <c r="F246" s="3">
        <v>1</v>
      </c>
      <c r="G246" s="2">
        <v>800</v>
      </c>
      <c r="H246" t="s">
        <v>54</v>
      </c>
      <c r="I246" t="s">
        <v>68</v>
      </c>
      <c r="J246" t="s">
        <v>31</v>
      </c>
      <c r="K246" t="s">
        <v>17</v>
      </c>
      <c r="L246" t="str">
        <f t="shared" si="30"/>
        <v>Laptop</v>
      </c>
      <c r="M246" t="str">
        <f t="shared" si="31"/>
        <v>Electronics</v>
      </c>
      <c r="N246" t="str">
        <f t="shared" si="32"/>
        <v>Michael Brown</v>
      </c>
      <c r="O246" t="str">
        <f t="shared" si="33"/>
        <v>Los Angeles</v>
      </c>
      <c r="P246" t="str">
        <f t="shared" si="34"/>
        <v>Credit Card</v>
      </c>
      <c r="Q246" t="str">
        <f t="shared" si="35"/>
        <v>Cancelled</v>
      </c>
      <c r="R246" t="b">
        <f t="shared" si="36"/>
        <v>1</v>
      </c>
      <c r="S246" t="str">
        <f t="shared" si="37"/>
        <v>Feb</v>
      </c>
      <c r="T246" t="str">
        <f t="shared" si="38"/>
        <v>Tuesday</v>
      </c>
      <c r="U246" t="str">
        <f t="shared" si="39"/>
        <v>Cancelled</v>
      </c>
    </row>
    <row r="247" spans="1:21" x14ac:dyDescent="0.3">
      <c r="A247" t="s">
        <v>299</v>
      </c>
      <c r="B247" s="1">
        <v>45733</v>
      </c>
      <c r="C247" t="s">
        <v>35</v>
      </c>
      <c r="D247" t="s">
        <v>36</v>
      </c>
      <c r="E247" s="2">
        <v>20</v>
      </c>
      <c r="F247" s="3">
        <v>2</v>
      </c>
      <c r="G247" s="2">
        <v>40</v>
      </c>
      <c r="H247" t="s">
        <v>57</v>
      </c>
      <c r="I247" t="s">
        <v>44</v>
      </c>
      <c r="J247" t="s">
        <v>16</v>
      </c>
      <c r="K247" t="s">
        <v>17</v>
      </c>
      <c r="L247" t="str">
        <f t="shared" si="30"/>
        <v>T-Shirt</v>
      </c>
      <c r="M247" t="str">
        <f t="shared" si="31"/>
        <v>Clothing</v>
      </c>
      <c r="N247" t="str">
        <f t="shared" si="32"/>
        <v>Daniel Harris</v>
      </c>
      <c r="O247" t="str">
        <f t="shared" si="33"/>
        <v>Miami</v>
      </c>
      <c r="P247" t="str">
        <f t="shared" si="34"/>
        <v>Debit Card</v>
      </c>
      <c r="Q247" t="str">
        <f t="shared" si="35"/>
        <v>Cancelled</v>
      </c>
      <c r="R247" t="b">
        <f t="shared" si="36"/>
        <v>1</v>
      </c>
      <c r="S247" t="str">
        <f t="shared" si="37"/>
        <v>Mar</v>
      </c>
      <c r="T247" t="str">
        <f t="shared" si="38"/>
        <v>Monday</v>
      </c>
      <c r="U247" t="str">
        <f t="shared" si="39"/>
        <v>Cancelled</v>
      </c>
    </row>
    <row r="248" spans="1:21" x14ac:dyDescent="0.3">
      <c r="A248" t="s">
        <v>300</v>
      </c>
      <c r="B248" s="1">
        <v>45746</v>
      </c>
      <c r="C248" t="s">
        <v>53</v>
      </c>
      <c r="D248" t="s">
        <v>36</v>
      </c>
      <c r="E248" s="2">
        <v>40</v>
      </c>
      <c r="F248" s="3">
        <v>1</v>
      </c>
      <c r="G248" s="2">
        <v>40</v>
      </c>
      <c r="H248" t="s">
        <v>43</v>
      </c>
      <c r="I248" t="s">
        <v>30</v>
      </c>
      <c r="J248" t="s">
        <v>16</v>
      </c>
      <c r="K248" t="s">
        <v>17</v>
      </c>
      <c r="L248" t="str">
        <f t="shared" si="30"/>
        <v>Jeans</v>
      </c>
      <c r="M248" t="str">
        <f t="shared" si="31"/>
        <v>Clothing</v>
      </c>
      <c r="N248" t="str">
        <f t="shared" si="32"/>
        <v>Sophia Miller</v>
      </c>
      <c r="O248" t="str">
        <f t="shared" si="33"/>
        <v>Dallas</v>
      </c>
      <c r="P248" t="str">
        <f t="shared" si="34"/>
        <v>Debit Card</v>
      </c>
      <c r="Q248" t="str">
        <f t="shared" si="35"/>
        <v>Cancelled</v>
      </c>
      <c r="R248" t="b">
        <f t="shared" si="36"/>
        <v>1</v>
      </c>
      <c r="S248" t="str">
        <f t="shared" si="37"/>
        <v>Mar</v>
      </c>
      <c r="T248" t="str">
        <f t="shared" si="38"/>
        <v>Sunday</v>
      </c>
      <c r="U248" t="str">
        <f t="shared" si="39"/>
        <v>Cancelled</v>
      </c>
    </row>
    <row r="249" spans="1:21" x14ac:dyDescent="0.3">
      <c r="A249" t="s">
        <v>301</v>
      </c>
      <c r="B249" s="1">
        <v>45721</v>
      </c>
      <c r="C249" t="s">
        <v>35</v>
      </c>
      <c r="D249" t="s">
        <v>36</v>
      </c>
      <c r="E249" s="2">
        <v>20</v>
      </c>
      <c r="F249" s="3">
        <v>2</v>
      </c>
      <c r="G249" s="2">
        <v>40</v>
      </c>
      <c r="H249" t="s">
        <v>72</v>
      </c>
      <c r="I249" t="s">
        <v>26</v>
      </c>
      <c r="J249" t="s">
        <v>16</v>
      </c>
      <c r="K249" t="s">
        <v>17</v>
      </c>
      <c r="L249" t="str">
        <f t="shared" si="30"/>
        <v>T-Shirt</v>
      </c>
      <c r="M249" t="str">
        <f t="shared" si="31"/>
        <v>Clothing</v>
      </c>
      <c r="N249" t="str">
        <f t="shared" si="32"/>
        <v>Chris White</v>
      </c>
      <c r="O249" t="str">
        <f t="shared" si="33"/>
        <v>Denver</v>
      </c>
      <c r="P249" t="str">
        <f t="shared" si="34"/>
        <v>Debit Card</v>
      </c>
      <c r="Q249" t="str">
        <f t="shared" si="35"/>
        <v>Cancelled</v>
      </c>
      <c r="R249" t="b">
        <f t="shared" si="36"/>
        <v>1</v>
      </c>
      <c r="S249" t="str">
        <f t="shared" si="37"/>
        <v>Mar</v>
      </c>
      <c r="T249" t="str">
        <f t="shared" si="38"/>
        <v>Wednesday</v>
      </c>
      <c r="U249" t="str">
        <f t="shared" si="39"/>
        <v>Cancelled</v>
      </c>
    </row>
    <row r="250" spans="1:21" x14ac:dyDescent="0.3">
      <c r="A250" t="s">
        <v>302</v>
      </c>
      <c r="B250" s="1">
        <v>45724</v>
      </c>
      <c r="C250" t="s">
        <v>33</v>
      </c>
      <c r="D250" t="s">
        <v>20</v>
      </c>
      <c r="E250" s="2">
        <v>150</v>
      </c>
      <c r="F250" s="3">
        <v>3</v>
      </c>
      <c r="G250" s="2">
        <v>450</v>
      </c>
      <c r="H250" t="s">
        <v>21</v>
      </c>
      <c r="I250" t="s">
        <v>15</v>
      </c>
      <c r="J250" t="s">
        <v>16</v>
      </c>
      <c r="K250" t="s">
        <v>17</v>
      </c>
      <c r="L250" t="str">
        <f t="shared" si="30"/>
        <v>Smartwatch</v>
      </c>
      <c r="M250" t="str">
        <f t="shared" si="31"/>
        <v>Electronics</v>
      </c>
      <c r="N250" t="str">
        <f t="shared" si="32"/>
        <v>Emily Johnson</v>
      </c>
      <c r="O250" t="str">
        <f t="shared" si="33"/>
        <v>New York</v>
      </c>
      <c r="P250" t="str">
        <f t="shared" si="34"/>
        <v>Debit Card</v>
      </c>
      <c r="Q250" t="str">
        <f t="shared" si="35"/>
        <v>Cancelled</v>
      </c>
      <c r="R250" t="b">
        <f t="shared" si="36"/>
        <v>1</v>
      </c>
      <c r="S250" t="str">
        <f t="shared" si="37"/>
        <v>Mar</v>
      </c>
      <c r="T250" t="str">
        <f t="shared" si="38"/>
        <v>Saturday</v>
      </c>
      <c r="U250" t="str">
        <f t="shared" si="39"/>
        <v>Cancelled</v>
      </c>
    </row>
    <row r="251" spans="1:21" x14ac:dyDescent="0.3">
      <c r="A251" t="s">
        <v>303</v>
      </c>
      <c r="B251" s="1">
        <v>45707</v>
      </c>
      <c r="C251" t="s">
        <v>42</v>
      </c>
      <c r="D251" t="s">
        <v>20</v>
      </c>
      <c r="E251" s="2">
        <v>500</v>
      </c>
      <c r="F251" s="3">
        <v>4</v>
      </c>
      <c r="G251" s="2">
        <v>2000</v>
      </c>
      <c r="H251" t="s">
        <v>21</v>
      </c>
      <c r="I251" t="s">
        <v>63</v>
      </c>
      <c r="J251" t="s">
        <v>27</v>
      </c>
      <c r="K251" t="s">
        <v>40</v>
      </c>
      <c r="L251" t="str">
        <f t="shared" si="30"/>
        <v>Smartphone</v>
      </c>
      <c r="M251" t="str">
        <f t="shared" si="31"/>
        <v>Electronics</v>
      </c>
      <c r="N251" t="str">
        <f t="shared" si="32"/>
        <v>Emily Johnson</v>
      </c>
      <c r="O251" t="str">
        <f t="shared" si="33"/>
        <v>Seattle</v>
      </c>
      <c r="P251" t="str">
        <f t="shared" si="34"/>
        <v>Amazon Pay</v>
      </c>
      <c r="Q251" t="str">
        <f t="shared" si="35"/>
        <v>Completed</v>
      </c>
      <c r="R251" t="b">
        <f t="shared" si="36"/>
        <v>1</v>
      </c>
      <c r="S251" t="str">
        <f t="shared" si="37"/>
        <v>Feb</v>
      </c>
      <c r="T251" t="str">
        <f t="shared" si="38"/>
        <v>Wednesday</v>
      </c>
      <c r="U251" t="str">
        <f t="shared" si="39"/>
        <v>Completed</v>
      </c>
    </row>
  </sheetData>
  <autoFilter ref="A1:U251" xr:uid="{26D42343-CA0E-4F04-8A98-889C62AB9A1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DF3C8-3A0F-472D-83C6-3B46D8FEEF89}">
  <dimension ref="A1:K251"/>
  <sheetViews>
    <sheetView tabSelected="1" workbookViewId="0">
      <selection activeCell="P9" sqref="P9"/>
    </sheetView>
  </sheetViews>
  <sheetFormatPr defaultRowHeight="14.4" x14ac:dyDescent="0.3"/>
  <sheetData>
    <row r="1" spans="1:11" x14ac:dyDescent="0.3">
      <c r="A1" t="s">
        <v>0</v>
      </c>
      <c r="B1" t="s">
        <v>1</v>
      </c>
      <c r="C1" t="s">
        <v>2</v>
      </c>
      <c r="D1" t="s">
        <v>3</v>
      </c>
      <c r="E1" t="s">
        <v>4</v>
      </c>
      <c r="F1" t="s">
        <v>5</v>
      </c>
      <c r="G1" t="s">
        <v>6</v>
      </c>
      <c r="H1" t="s">
        <v>7</v>
      </c>
      <c r="I1" t="s">
        <v>8</v>
      </c>
      <c r="J1" t="s">
        <v>9</v>
      </c>
      <c r="K1" t="s">
        <v>10</v>
      </c>
    </row>
    <row r="2" spans="1:11" x14ac:dyDescent="0.3">
      <c r="A2" t="s">
        <v>11</v>
      </c>
      <c r="B2" s="1">
        <v>45730</v>
      </c>
      <c r="C2" t="s">
        <v>12</v>
      </c>
      <c r="D2" t="s">
        <v>13</v>
      </c>
      <c r="E2">
        <v>60</v>
      </c>
      <c r="F2">
        <v>3</v>
      </c>
      <c r="G2">
        <v>180</v>
      </c>
      <c r="H2" t="s">
        <v>14</v>
      </c>
      <c r="I2" t="s">
        <v>15</v>
      </c>
      <c r="J2" t="s">
        <v>16</v>
      </c>
      <c r="K2" t="s">
        <v>17</v>
      </c>
    </row>
    <row r="3" spans="1:11" x14ac:dyDescent="0.3">
      <c r="A3" t="s">
        <v>18</v>
      </c>
      <c r="B3" s="1">
        <v>45736</v>
      </c>
      <c r="C3" t="s">
        <v>19</v>
      </c>
      <c r="D3" t="s">
        <v>20</v>
      </c>
      <c r="E3">
        <v>100</v>
      </c>
      <c r="F3">
        <v>4</v>
      </c>
      <c r="G3">
        <v>400</v>
      </c>
      <c r="H3" t="s">
        <v>21</v>
      </c>
      <c r="I3" t="s">
        <v>22</v>
      </c>
      <c r="J3" t="s">
        <v>16</v>
      </c>
      <c r="K3" t="s">
        <v>23</v>
      </c>
    </row>
    <row r="4" spans="1:11" x14ac:dyDescent="0.3">
      <c r="A4" t="s">
        <v>24</v>
      </c>
      <c r="B4" s="1">
        <v>45703</v>
      </c>
      <c r="C4" t="s">
        <v>12</v>
      </c>
      <c r="D4" t="s">
        <v>13</v>
      </c>
      <c r="E4">
        <v>60</v>
      </c>
      <c r="F4">
        <v>2</v>
      </c>
      <c r="G4">
        <v>120</v>
      </c>
      <c r="H4" t="s">
        <v>25</v>
      </c>
      <c r="I4" t="s">
        <v>26</v>
      </c>
      <c r="J4" t="s">
        <v>27</v>
      </c>
      <c r="K4" t="s">
        <v>17</v>
      </c>
    </row>
    <row r="5" spans="1:11" x14ac:dyDescent="0.3">
      <c r="A5" t="s">
        <v>28</v>
      </c>
      <c r="B5" s="1">
        <v>45707</v>
      </c>
      <c r="C5" t="s">
        <v>12</v>
      </c>
      <c r="D5" t="s">
        <v>13</v>
      </c>
      <c r="E5">
        <v>60</v>
      </c>
      <c r="F5">
        <v>3</v>
      </c>
      <c r="G5">
        <v>180</v>
      </c>
      <c r="H5" t="s">
        <v>29</v>
      </c>
      <c r="I5" t="s">
        <v>30</v>
      </c>
      <c r="J5" t="s">
        <v>31</v>
      </c>
      <c r="K5" t="s">
        <v>23</v>
      </c>
    </row>
    <row r="6" spans="1:11" x14ac:dyDescent="0.3">
      <c r="A6" t="s">
        <v>32</v>
      </c>
      <c r="B6" s="1">
        <v>45726</v>
      </c>
      <c r="C6" t="s">
        <v>33</v>
      </c>
      <c r="D6" t="s">
        <v>20</v>
      </c>
      <c r="E6">
        <v>150</v>
      </c>
      <c r="F6">
        <v>3</v>
      </c>
      <c r="G6">
        <v>450</v>
      </c>
      <c r="H6" t="s">
        <v>14</v>
      </c>
      <c r="I6" t="s">
        <v>15</v>
      </c>
      <c r="J6" t="s">
        <v>16</v>
      </c>
      <c r="K6" t="s">
        <v>23</v>
      </c>
    </row>
    <row r="7" spans="1:11" x14ac:dyDescent="0.3">
      <c r="A7" t="s">
        <v>34</v>
      </c>
      <c r="B7" s="1">
        <v>45730</v>
      </c>
      <c r="C7" t="s">
        <v>35</v>
      </c>
      <c r="D7" t="s">
        <v>36</v>
      </c>
      <c r="E7">
        <v>20</v>
      </c>
      <c r="F7">
        <v>1</v>
      </c>
      <c r="G7">
        <v>20</v>
      </c>
      <c r="H7" t="s">
        <v>25</v>
      </c>
      <c r="I7" t="s">
        <v>30</v>
      </c>
      <c r="J7" t="s">
        <v>31</v>
      </c>
      <c r="K7" t="s">
        <v>23</v>
      </c>
    </row>
    <row r="8" spans="1:11" x14ac:dyDescent="0.3">
      <c r="A8" t="s">
        <v>37</v>
      </c>
      <c r="B8" s="1">
        <v>45734</v>
      </c>
      <c r="C8" t="s">
        <v>33</v>
      </c>
      <c r="D8" t="s">
        <v>20</v>
      </c>
      <c r="E8">
        <v>150</v>
      </c>
      <c r="F8">
        <v>4</v>
      </c>
      <c r="G8">
        <v>600</v>
      </c>
      <c r="H8" t="s">
        <v>14</v>
      </c>
      <c r="I8" t="s">
        <v>38</v>
      </c>
      <c r="J8" t="s">
        <v>39</v>
      </c>
      <c r="K8" t="s">
        <v>40</v>
      </c>
    </row>
    <row r="9" spans="1:11" x14ac:dyDescent="0.3">
      <c r="A9" t="s">
        <v>41</v>
      </c>
      <c r="B9" s="1">
        <v>45718</v>
      </c>
      <c r="C9" t="s">
        <v>42</v>
      </c>
      <c r="D9" t="s">
        <v>20</v>
      </c>
      <c r="E9">
        <v>500</v>
      </c>
      <c r="F9">
        <v>1</v>
      </c>
      <c r="G9">
        <v>500</v>
      </c>
      <c r="H9" t="s">
        <v>43</v>
      </c>
      <c r="I9" t="s">
        <v>44</v>
      </c>
      <c r="J9" t="s">
        <v>39</v>
      </c>
      <c r="K9" t="s">
        <v>40</v>
      </c>
    </row>
    <row r="10" spans="1:11" x14ac:dyDescent="0.3">
      <c r="A10" t="s">
        <v>45</v>
      </c>
      <c r="B10" s="1">
        <v>45724</v>
      </c>
      <c r="C10" t="s">
        <v>35</v>
      </c>
      <c r="D10" t="s">
        <v>36</v>
      </c>
      <c r="E10">
        <v>20</v>
      </c>
      <c r="F10">
        <v>3</v>
      </c>
      <c r="G10">
        <v>60</v>
      </c>
      <c r="H10" t="s">
        <v>43</v>
      </c>
      <c r="I10" t="s">
        <v>46</v>
      </c>
      <c r="J10" t="s">
        <v>39</v>
      </c>
      <c r="K10" t="s">
        <v>40</v>
      </c>
    </row>
    <row r="11" spans="1:11" x14ac:dyDescent="0.3">
      <c r="A11" t="s">
        <v>47</v>
      </c>
      <c r="B11" s="1">
        <v>45728</v>
      </c>
      <c r="C11" t="s">
        <v>42</v>
      </c>
      <c r="D11" t="s">
        <v>20</v>
      </c>
      <c r="E11">
        <v>500</v>
      </c>
      <c r="F11">
        <v>1</v>
      </c>
      <c r="G11">
        <v>500</v>
      </c>
      <c r="H11" t="s">
        <v>21</v>
      </c>
      <c r="I11" t="s">
        <v>22</v>
      </c>
      <c r="J11" t="s">
        <v>31</v>
      </c>
      <c r="K11" t="s">
        <v>17</v>
      </c>
    </row>
    <row r="12" spans="1:11" x14ac:dyDescent="0.3">
      <c r="A12" t="s">
        <v>48</v>
      </c>
      <c r="B12" s="1">
        <v>45705</v>
      </c>
      <c r="C12" t="s">
        <v>49</v>
      </c>
      <c r="D12" t="s">
        <v>50</v>
      </c>
      <c r="E12">
        <v>15</v>
      </c>
      <c r="F12">
        <v>2</v>
      </c>
      <c r="G12">
        <v>30</v>
      </c>
      <c r="H12" t="s">
        <v>51</v>
      </c>
      <c r="I12" t="s">
        <v>46</v>
      </c>
      <c r="J12" t="s">
        <v>27</v>
      </c>
      <c r="K12" t="s">
        <v>23</v>
      </c>
    </row>
    <row r="13" spans="1:11" x14ac:dyDescent="0.3">
      <c r="A13" t="s">
        <v>52</v>
      </c>
      <c r="B13" s="1">
        <v>45729</v>
      </c>
      <c r="C13" t="s">
        <v>53</v>
      </c>
      <c r="D13" t="s">
        <v>36</v>
      </c>
      <c r="E13">
        <v>40</v>
      </c>
      <c r="F13">
        <v>4</v>
      </c>
      <c r="G13">
        <v>160</v>
      </c>
      <c r="H13" t="s">
        <v>54</v>
      </c>
      <c r="I13" t="s">
        <v>30</v>
      </c>
      <c r="J13" t="s">
        <v>31</v>
      </c>
      <c r="K13" t="s">
        <v>40</v>
      </c>
    </row>
    <row r="14" spans="1:11" x14ac:dyDescent="0.3">
      <c r="A14" t="s">
        <v>55</v>
      </c>
      <c r="B14" s="1">
        <v>45717</v>
      </c>
      <c r="C14" t="s">
        <v>56</v>
      </c>
      <c r="D14" t="s">
        <v>20</v>
      </c>
      <c r="E14">
        <v>800</v>
      </c>
      <c r="F14">
        <v>2</v>
      </c>
      <c r="G14">
        <v>1600</v>
      </c>
      <c r="H14" t="s">
        <v>57</v>
      </c>
      <c r="I14" t="s">
        <v>22</v>
      </c>
      <c r="J14" t="s">
        <v>58</v>
      </c>
      <c r="K14" t="s">
        <v>23</v>
      </c>
    </row>
    <row r="15" spans="1:11" x14ac:dyDescent="0.3">
      <c r="A15" t="s">
        <v>59</v>
      </c>
      <c r="B15" s="1">
        <v>45720</v>
      </c>
      <c r="C15" t="s">
        <v>60</v>
      </c>
      <c r="D15" t="s">
        <v>61</v>
      </c>
      <c r="E15">
        <v>600</v>
      </c>
      <c r="F15">
        <v>3</v>
      </c>
      <c r="G15">
        <v>1800</v>
      </c>
      <c r="H15" t="s">
        <v>54</v>
      </c>
      <c r="I15" t="s">
        <v>44</v>
      </c>
      <c r="J15" t="s">
        <v>31</v>
      </c>
      <c r="K15" t="s">
        <v>17</v>
      </c>
    </row>
    <row r="16" spans="1:11" x14ac:dyDescent="0.3">
      <c r="A16" t="s">
        <v>62</v>
      </c>
      <c r="B16" s="1">
        <v>45708</v>
      </c>
      <c r="C16" t="s">
        <v>33</v>
      </c>
      <c r="D16" t="s">
        <v>20</v>
      </c>
      <c r="E16">
        <v>150</v>
      </c>
      <c r="F16">
        <v>4</v>
      </c>
      <c r="G16">
        <v>600</v>
      </c>
      <c r="H16" t="s">
        <v>25</v>
      </c>
      <c r="I16" t="s">
        <v>63</v>
      </c>
      <c r="J16" t="s">
        <v>31</v>
      </c>
      <c r="K16" t="s">
        <v>40</v>
      </c>
    </row>
    <row r="17" spans="1:11" x14ac:dyDescent="0.3">
      <c r="A17" t="s">
        <v>64</v>
      </c>
      <c r="B17" s="1">
        <v>45714</v>
      </c>
      <c r="C17" t="s">
        <v>65</v>
      </c>
      <c r="D17" t="s">
        <v>61</v>
      </c>
      <c r="E17">
        <v>1200</v>
      </c>
      <c r="F17">
        <v>1</v>
      </c>
      <c r="G17">
        <v>1200</v>
      </c>
      <c r="H17" t="s">
        <v>25</v>
      </c>
      <c r="I17" t="s">
        <v>46</v>
      </c>
      <c r="J17" t="s">
        <v>31</v>
      </c>
      <c r="K17" t="s">
        <v>17</v>
      </c>
    </row>
    <row r="18" spans="1:11" x14ac:dyDescent="0.3">
      <c r="A18" t="s">
        <v>66</v>
      </c>
      <c r="B18" s="1">
        <v>45748</v>
      </c>
      <c r="C18" t="s">
        <v>35</v>
      </c>
      <c r="D18" t="s">
        <v>36</v>
      </c>
      <c r="E18">
        <v>20</v>
      </c>
      <c r="F18">
        <v>1</v>
      </c>
      <c r="G18">
        <v>20</v>
      </c>
      <c r="H18" t="s">
        <v>14</v>
      </c>
      <c r="I18" t="s">
        <v>15</v>
      </c>
      <c r="J18" t="s">
        <v>27</v>
      </c>
      <c r="K18" t="s">
        <v>40</v>
      </c>
    </row>
    <row r="19" spans="1:11" x14ac:dyDescent="0.3">
      <c r="A19" t="s">
        <v>67</v>
      </c>
      <c r="B19" s="1">
        <v>45698</v>
      </c>
      <c r="C19" t="s">
        <v>42</v>
      </c>
      <c r="D19" t="s">
        <v>20</v>
      </c>
      <c r="E19">
        <v>500</v>
      </c>
      <c r="F19">
        <v>2</v>
      </c>
      <c r="G19">
        <v>1000</v>
      </c>
      <c r="H19" t="s">
        <v>54</v>
      </c>
      <c r="I19" t="s">
        <v>68</v>
      </c>
      <c r="J19" t="s">
        <v>27</v>
      </c>
      <c r="K19" t="s">
        <v>40</v>
      </c>
    </row>
    <row r="20" spans="1:11" x14ac:dyDescent="0.3">
      <c r="A20" t="s">
        <v>69</v>
      </c>
      <c r="B20" s="1">
        <v>45738</v>
      </c>
      <c r="C20" t="s">
        <v>12</v>
      </c>
      <c r="D20" t="s">
        <v>13</v>
      </c>
      <c r="E20">
        <v>60</v>
      </c>
      <c r="F20">
        <v>3</v>
      </c>
      <c r="G20">
        <v>180</v>
      </c>
      <c r="H20" t="s">
        <v>29</v>
      </c>
      <c r="I20" t="s">
        <v>38</v>
      </c>
      <c r="J20" t="s">
        <v>31</v>
      </c>
      <c r="K20" t="s">
        <v>40</v>
      </c>
    </row>
    <row r="21" spans="1:11" x14ac:dyDescent="0.3">
      <c r="A21" t="s">
        <v>70</v>
      </c>
      <c r="B21" s="1">
        <v>45723</v>
      </c>
      <c r="C21" t="s">
        <v>19</v>
      </c>
      <c r="D21" t="s">
        <v>20</v>
      </c>
      <c r="E21">
        <v>100</v>
      </c>
      <c r="F21">
        <v>4</v>
      </c>
      <c r="G21">
        <v>400</v>
      </c>
      <c r="H21" t="s">
        <v>29</v>
      </c>
      <c r="I21" t="s">
        <v>63</v>
      </c>
      <c r="J21" t="s">
        <v>16</v>
      </c>
      <c r="K21" t="s">
        <v>23</v>
      </c>
    </row>
    <row r="22" spans="1:11" x14ac:dyDescent="0.3">
      <c r="A22" t="s">
        <v>71</v>
      </c>
      <c r="B22" s="1">
        <v>45693</v>
      </c>
      <c r="C22" t="s">
        <v>19</v>
      </c>
      <c r="D22" t="s">
        <v>20</v>
      </c>
      <c r="E22">
        <v>100</v>
      </c>
      <c r="F22">
        <v>3</v>
      </c>
      <c r="G22">
        <v>300</v>
      </c>
      <c r="H22" t="s">
        <v>72</v>
      </c>
      <c r="I22" t="s">
        <v>44</v>
      </c>
      <c r="J22" t="s">
        <v>16</v>
      </c>
      <c r="K22" t="s">
        <v>17</v>
      </c>
    </row>
    <row r="23" spans="1:11" x14ac:dyDescent="0.3">
      <c r="A23" t="s">
        <v>73</v>
      </c>
      <c r="B23" s="1">
        <v>45723</v>
      </c>
      <c r="C23" t="s">
        <v>65</v>
      </c>
      <c r="D23" t="s">
        <v>61</v>
      </c>
      <c r="E23">
        <v>1200</v>
      </c>
      <c r="F23">
        <v>4</v>
      </c>
      <c r="G23">
        <v>4800</v>
      </c>
      <c r="H23" t="s">
        <v>29</v>
      </c>
      <c r="I23" t="s">
        <v>38</v>
      </c>
      <c r="J23" t="s">
        <v>31</v>
      </c>
      <c r="K23" t="s">
        <v>23</v>
      </c>
    </row>
    <row r="24" spans="1:11" x14ac:dyDescent="0.3">
      <c r="A24" t="s">
        <v>74</v>
      </c>
      <c r="B24" s="1">
        <v>45711</v>
      </c>
      <c r="C24" t="s">
        <v>49</v>
      </c>
      <c r="D24" t="s">
        <v>50</v>
      </c>
      <c r="E24">
        <v>15</v>
      </c>
      <c r="F24">
        <v>1</v>
      </c>
      <c r="G24">
        <v>15</v>
      </c>
      <c r="H24" t="s">
        <v>14</v>
      </c>
      <c r="I24" t="s">
        <v>38</v>
      </c>
      <c r="J24" t="s">
        <v>31</v>
      </c>
      <c r="K24" t="s">
        <v>23</v>
      </c>
    </row>
    <row r="25" spans="1:11" x14ac:dyDescent="0.3">
      <c r="A25" t="s">
        <v>75</v>
      </c>
      <c r="B25" s="1">
        <v>45740</v>
      </c>
      <c r="C25" t="s">
        <v>65</v>
      </c>
      <c r="D25" t="s">
        <v>61</v>
      </c>
      <c r="E25">
        <v>1200</v>
      </c>
      <c r="F25">
        <v>3</v>
      </c>
      <c r="G25">
        <v>3600</v>
      </c>
      <c r="H25" t="s">
        <v>72</v>
      </c>
      <c r="I25" t="s">
        <v>30</v>
      </c>
      <c r="J25" t="s">
        <v>31</v>
      </c>
      <c r="K25" t="s">
        <v>17</v>
      </c>
    </row>
    <row r="26" spans="1:11" x14ac:dyDescent="0.3">
      <c r="A26" t="s">
        <v>76</v>
      </c>
      <c r="B26" s="1">
        <v>45718</v>
      </c>
      <c r="C26" t="s">
        <v>49</v>
      </c>
      <c r="D26" t="s">
        <v>50</v>
      </c>
      <c r="E26">
        <v>15</v>
      </c>
      <c r="F26">
        <v>5</v>
      </c>
      <c r="G26">
        <v>75</v>
      </c>
      <c r="H26" t="s">
        <v>43</v>
      </c>
      <c r="I26" t="s">
        <v>63</v>
      </c>
      <c r="J26" t="s">
        <v>27</v>
      </c>
      <c r="K26" t="s">
        <v>40</v>
      </c>
    </row>
    <row r="27" spans="1:11" x14ac:dyDescent="0.3">
      <c r="A27" t="s">
        <v>77</v>
      </c>
      <c r="B27" s="1">
        <v>45702</v>
      </c>
      <c r="C27" t="s">
        <v>60</v>
      </c>
      <c r="D27" t="s">
        <v>61</v>
      </c>
      <c r="E27">
        <v>600</v>
      </c>
      <c r="F27">
        <v>1</v>
      </c>
      <c r="G27">
        <v>600</v>
      </c>
      <c r="H27" t="s">
        <v>29</v>
      </c>
      <c r="I27" t="s">
        <v>46</v>
      </c>
      <c r="J27" t="s">
        <v>16</v>
      </c>
      <c r="K27" t="s">
        <v>17</v>
      </c>
    </row>
    <row r="28" spans="1:11" x14ac:dyDescent="0.3">
      <c r="A28" t="s">
        <v>78</v>
      </c>
      <c r="B28" s="1">
        <v>45695</v>
      </c>
      <c r="C28" t="s">
        <v>35</v>
      </c>
      <c r="D28" t="s">
        <v>36</v>
      </c>
      <c r="E28">
        <v>20</v>
      </c>
      <c r="F28">
        <v>1</v>
      </c>
      <c r="G28">
        <v>20</v>
      </c>
      <c r="H28" t="s">
        <v>57</v>
      </c>
      <c r="I28" t="s">
        <v>15</v>
      </c>
      <c r="J28" t="s">
        <v>27</v>
      </c>
      <c r="K28" t="s">
        <v>23</v>
      </c>
    </row>
    <row r="29" spans="1:11" x14ac:dyDescent="0.3">
      <c r="A29" t="s">
        <v>79</v>
      </c>
      <c r="B29" s="1">
        <v>45691</v>
      </c>
      <c r="C29" t="s">
        <v>19</v>
      </c>
      <c r="D29" t="s">
        <v>20</v>
      </c>
      <c r="E29">
        <v>100</v>
      </c>
      <c r="F29">
        <v>1</v>
      </c>
      <c r="G29">
        <v>100</v>
      </c>
      <c r="H29" t="s">
        <v>80</v>
      </c>
      <c r="I29" t="s">
        <v>81</v>
      </c>
      <c r="J29" t="s">
        <v>27</v>
      </c>
      <c r="K29" t="s">
        <v>40</v>
      </c>
    </row>
    <row r="30" spans="1:11" x14ac:dyDescent="0.3">
      <c r="A30" t="s">
        <v>82</v>
      </c>
      <c r="B30" s="1">
        <v>45700</v>
      </c>
      <c r="C30" t="s">
        <v>42</v>
      </c>
      <c r="D30" t="s">
        <v>20</v>
      </c>
      <c r="E30">
        <v>500</v>
      </c>
      <c r="F30">
        <v>1</v>
      </c>
      <c r="G30">
        <v>500</v>
      </c>
      <c r="H30" t="s">
        <v>43</v>
      </c>
      <c r="I30" t="s">
        <v>26</v>
      </c>
      <c r="J30" t="s">
        <v>31</v>
      </c>
      <c r="K30" t="s">
        <v>17</v>
      </c>
    </row>
    <row r="31" spans="1:11" x14ac:dyDescent="0.3">
      <c r="A31" t="s">
        <v>83</v>
      </c>
      <c r="B31" s="1">
        <v>45698</v>
      </c>
      <c r="C31" t="s">
        <v>60</v>
      </c>
      <c r="D31" t="s">
        <v>61</v>
      </c>
      <c r="E31">
        <v>600</v>
      </c>
      <c r="F31">
        <v>3</v>
      </c>
      <c r="G31">
        <v>1800</v>
      </c>
      <c r="H31" t="s">
        <v>21</v>
      </c>
      <c r="I31" t="s">
        <v>30</v>
      </c>
      <c r="J31" t="s">
        <v>58</v>
      </c>
      <c r="K31" t="s">
        <v>17</v>
      </c>
    </row>
    <row r="32" spans="1:11" x14ac:dyDescent="0.3">
      <c r="A32" t="s">
        <v>84</v>
      </c>
      <c r="B32" s="1">
        <v>45740</v>
      </c>
      <c r="C32" t="s">
        <v>42</v>
      </c>
      <c r="D32" t="s">
        <v>20</v>
      </c>
      <c r="E32">
        <v>500</v>
      </c>
      <c r="F32">
        <v>1</v>
      </c>
      <c r="G32">
        <v>500</v>
      </c>
      <c r="H32" t="s">
        <v>25</v>
      </c>
      <c r="I32" t="s">
        <v>38</v>
      </c>
      <c r="J32" t="s">
        <v>58</v>
      </c>
      <c r="K32" t="s">
        <v>23</v>
      </c>
    </row>
    <row r="33" spans="1:11" x14ac:dyDescent="0.3">
      <c r="A33" t="s">
        <v>85</v>
      </c>
      <c r="B33" s="1">
        <v>45726</v>
      </c>
      <c r="C33" t="s">
        <v>42</v>
      </c>
      <c r="D33" t="s">
        <v>20</v>
      </c>
      <c r="E33">
        <v>500</v>
      </c>
      <c r="F33">
        <v>4</v>
      </c>
      <c r="G33">
        <v>2000</v>
      </c>
      <c r="H33" t="s">
        <v>54</v>
      </c>
      <c r="I33" t="s">
        <v>63</v>
      </c>
      <c r="J33" t="s">
        <v>39</v>
      </c>
      <c r="K33" t="s">
        <v>23</v>
      </c>
    </row>
    <row r="34" spans="1:11" x14ac:dyDescent="0.3">
      <c r="A34" t="s">
        <v>86</v>
      </c>
      <c r="B34" s="1">
        <v>45692</v>
      </c>
      <c r="C34" t="s">
        <v>49</v>
      </c>
      <c r="D34" t="s">
        <v>50</v>
      </c>
      <c r="E34">
        <v>15</v>
      </c>
      <c r="F34">
        <v>1</v>
      </c>
      <c r="G34">
        <v>15</v>
      </c>
      <c r="H34" t="s">
        <v>29</v>
      </c>
      <c r="I34" t="s">
        <v>15</v>
      </c>
      <c r="J34" t="s">
        <v>16</v>
      </c>
      <c r="K34" t="s">
        <v>17</v>
      </c>
    </row>
    <row r="35" spans="1:11" x14ac:dyDescent="0.3">
      <c r="A35" t="s">
        <v>87</v>
      </c>
      <c r="B35" s="1">
        <v>45749</v>
      </c>
      <c r="C35" t="s">
        <v>35</v>
      </c>
      <c r="D35" t="s">
        <v>36</v>
      </c>
      <c r="E35">
        <v>20</v>
      </c>
      <c r="F35">
        <v>5</v>
      </c>
      <c r="G35">
        <v>100</v>
      </c>
      <c r="H35" t="s">
        <v>80</v>
      </c>
      <c r="I35" t="s">
        <v>15</v>
      </c>
      <c r="J35" t="s">
        <v>31</v>
      </c>
      <c r="K35" t="s">
        <v>23</v>
      </c>
    </row>
    <row r="36" spans="1:11" x14ac:dyDescent="0.3">
      <c r="A36" t="s">
        <v>88</v>
      </c>
      <c r="B36" s="1">
        <v>45749</v>
      </c>
      <c r="C36" t="s">
        <v>56</v>
      </c>
      <c r="D36" t="s">
        <v>20</v>
      </c>
      <c r="E36">
        <v>800</v>
      </c>
      <c r="F36">
        <v>3</v>
      </c>
      <c r="G36">
        <v>2400</v>
      </c>
      <c r="H36" t="s">
        <v>14</v>
      </c>
      <c r="I36" t="s">
        <v>26</v>
      </c>
      <c r="J36" t="s">
        <v>27</v>
      </c>
      <c r="K36" t="s">
        <v>40</v>
      </c>
    </row>
    <row r="37" spans="1:11" x14ac:dyDescent="0.3">
      <c r="A37" t="s">
        <v>89</v>
      </c>
      <c r="B37" s="1">
        <v>45697</v>
      </c>
      <c r="C37" t="s">
        <v>65</v>
      </c>
      <c r="D37" t="s">
        <v>61</v>
      </c>
      <c r="E37">
        <v>1200</v>
      </c>
      <c r="F37">
        <v>2</v>
      </c>
      <c r="G37">
        <v>2400</v>
      </c>
      <c r="H37" t="s">
        <v>43</v>
      </c>
      <c r="I37" t="s">
        <v>46</v>
      </c>
      <c r="J37" t="s">
        <v>39</v>
      </c>
      <c r="K37" t="s">
        <v>17</v>
      </c>
    </row>
    <row r="38" spans="1:11" x14ac:dyDescent="0.3">
      <c r="A38" t="s">
        <v>90</v>
      </c>
      <c r="B38" s="1">
        <v>45704</v>
      </c>
      <c r="C38" t="s">
        <v>19</v>
      </c>
      <c r="D38" t="s">
        <v>20</v>
      </c>
      <c r="E38">
        <v>100</v>
      </c>
      <c r="F38">
        <v>3</v>
      </c>
      <c r="G38">
        <v>300</v>
      </c>
      <c r="H38" t="s">
        <v>54</v>
      </c>
      <c r="I38" t="s">
        <v>15</v>
      </c>
      <c r="J38" t="s">
        <v>16</v>
      </c>
      <c r="K38" t="s">
        <v>17</v>
      </c>
    </row>
    <row r="39" spans="1:11" x14ac:dyDescent="0.3">
      <c r="A39" t="s">
        <v>91</v>
      </c>
      <c r="B39" s="1">
        <v>45742</v>
      </c>
      <c r="C39" t="s">
        <v>56</v>
      </c>
      <c r="D39" t="s">
        <v>20</v>
      </c>
      <c r="E39">
        <v>800</v>
      </c>
      <c r="F39">
        <v>3</v>
      </c>
      <c r="G39">
        <v>2400</v>
      </c>
      <c r="H39" t="s">
        <v>29</v>
      </c>
      <c r="I39" t="s">
        <v>81</v>
      </c>
      <c r="J39" t="s">
        <v>27</v>
      </c>
      <c r="K39" t="s">
        <v>40</v>
      </c>
    </row>
    <row r="40" spans="1:11" x14ac:dyDescent="0.3">
      <c r="A40" t="s">
        <v>92</v>
      </c>
      <c r="B40" s="1">
        <v>45718</v>
      </c>
      <c r="C40" t="s">
        <v>56</v>
      </c>
      <c r="D40" t="s">
        <v>20</v>
      </c>
      <c r="E40">
        <v>800</v>
      </c>
      <c r="F40">
        <v>2</v>
      </c>
      <c r="G40">
        <v>1600</v>
      </c>
      <c r="H40" t="s">
        <v>29</v>
      </c>
      <c r="I40" t="s">
        <v>22</v>
      </c>
      <c r="J40" t="s">
        <v>39</v>
      </c>
      <c r="K40" t="s">
        <v>40</v>
      </c>
    </row>
    <row r="41" spans="1:11" x14ac:dyDescent="0.3">
      <c r="A41" t="s">
        <v>93</v>
      </c>
      <c r="B41" s="1">
        <v>45742</v>
      </c>
      <c r="C41" t="s">
        <v>33</v>
      </c>
      <c r="D41" t="s">
        <v>20</v>
      </c>
      <c r="E41">
        <v>150</v>
      </c>
      <c r="F41">
        <v>1</v>
      </c>
      <c r="G41">
        <v>150</v>
      </c>
      <c r="H41" t="s">
        <v>21</v>
      </c>
      <c r="I41" t="s">
        <v>63</v>
      </c>
      <c r="J41" t="s">
        <v>58</v>
      </c>
      <c r="K41" t="s">
        <v>23</v>
      </c>
    </row>
    <row r="42" spans="1:11" x14ac:dyDescent="0.3">
      <c r="A42" t="s">
        <v>94</v>
      </c>
      <c r="B42" s="1">
        <v>45708</v>
      </c>
      <c r="C42" t="s">
        <v>49</v>
      </c>
      <c r="D42" t="s">
        <v>50</v>
      </c>
      <c r="E42">
        <v>15</v>
      </c>
      <c r="F42">
        <v>1</v>
      </c>
      <c r="G42">
        <v>15</v>
      </c>
      <c r="H42" t="s">
        <v>80</v>
      </c>
      <c r="I42" t="s">
        <v>44</v>
      </c>
      <c r="J42" t="s">
        <v>31</v>
      </c>
      <c r="K42" t="s">
        <v>17</v>
      </c>
    </row>
    <row r="43" spans="1:11" x14ac:dyDescent="0.3">
      <c r="A43" t="s">
        <v>95</v>
      </c>
      <c r="B43" s="1">
        <v>45733</v>
      </c>
      <c r="C43" t="s">
        <v>19</v>
      </c>
      <c r="D43" t="s">
        <v>20</v>
      </c>
      <c r="E43">
        <v>100</v>
      </c>
      <c r="F43">
        <v>3</v>
      </c>
      <c r="G43">
        <v>300</v>
      </c>
      <c r="H43" t="s">
        <v>80</v>
      </c>
      <c r="I43" t="s">
        <v>81</v>
      </c>
      <c r="J43" t="s">
        <v>27</v>
      </c>
      <c r="K43" t="s">
        <v>17</v>
      </c>
    </row>
    <row r="44" spans="1:11" x14ac:dyDescent="0.3">
      <c r="A44" t="s">
        <v>96</v>
      </c>
      <c r="B44" s="1">
        <v>45696</v>
      </c>
      <c r="C44" t="s">
        <v>35</v>
      </c>
      <c r="D44" t="s">
        <v>36</v>
      </c>
      <c r="E44">
        <v>20</v>
      </c>
      <c r="F44">
        <v>4</v>
      </c>
      <c r="G44">
        <v>80</v>
      </c>
      <c r="H44" t="s">
        <v>80</v>
      </c>
      <c r="I44" t="s">
        <v>26</v>
      </c>
      <c r="J44" t="s">
        <v>31</v>
      </c>
      <c r="K44" t="s">
        <v>23</v>
      </c>
    </row>
    <row r="45" spans="1:11" x14ac:dyDescent="0.3">
      <c r="A45" t="s">
        <v>97</v>
      </c>
      <c r="B45" s="1">
        <v>45740</v>
      </c>
      <c r="C45" t="s">
        <v>33</v>
      </c>
      <c r="D45" t="s">
        <v>20</v>
      </c>
      <c r="E45">
        <v>150</v>
      </c>
      <c r="F45">
        <v>1</v>
      </c>
      <c r="G45">
        <v>150</v>
      </c>
      <c r="H45" t="s">
        <v>72</v>
      </c>
      <c r="I45" t="s">
        <v>38</v>
      </c>
      <c r="J45" t="s">
        <v>16</v>
      </c>
      <c r="K45" t="s">
        <v>23</v>
      </c>
    </row>
    <row r="46" spans="1:11" x14ac:dyDescent="0.3">
      <c r="A46" t="s">
        <v>98</v>
      </c>
      <c r="B46" s="1">
        <v>45731</v>
      </c>
      <c r="C46" t="s">
        <v>65</v>
      </c>
      <c r="D46" t="s">
        <v>61</v>
      </c>
      <c r="E46">
        <v>1200</v>
      </c>
      <c r="F46">
        <v>3</v>
      </c>
      <c r="G46">
        <v>3600</v>
      </c>
      <c r="H46" t="s">
        <v>57</v>
      </c>
      <c r="I46" t="s">
        <v>15</v>
      </c>
      <c r="J46" t="s">
        <v>31</v>
      </c>
      <c r="K46" t="s">
        <v>23</v>
      </c>
    </row>
    <row r="47" spans="1:11" x14ac:dyDescent="0.3">
      <c r="A47" t="s">
        <v>99</v>
      </c>
      <c r="B47" s="1">
        <v>45722</v>
      </c>
      <c r="C47" t="s">
        <v>12</v>
      </c>
      <c r="D47" t="s">
        <v>13</v>
      </c>
      <c r="E47">
        <v>60</v>
      </c>
      <c r="F47">
        <v>2</v>
      </c>
      <c r="G47">
        <v>120</v>
      </c>
      <c r="H47" t="s">
        <v>51</v>
      </c>
      <c r="I47" t="s">
        <v>38</v>
      </c>
      <c r="J47" t="s">
        <v>16</v>
      </c>
      <c r="K47" t="s">
        <v>17</v>
      </c>
    </row>
    <row r="48" spans="1:11" x14ac:dyDescent="0.3">
      <c r="A48" t="s">
        <v>100</v>
      </c>
      <c r="B48" s="1">
        <v>45742</v>
      </c>
      <c r="C48" t="s">
        <v>35</v>
      </c>
      <c r="D48" t="s">
        <v>36</v>
      </c>
      <c r="E48">
        <v>20</v>
      </c>
      <c r="F48">
        <v>2</v>
      </c>
      <c r="G48">
        <v>40</v>
      </c>
      <c r="H48" t="s">
        <v>72</v>
      </c>
      <c r="I48" t="s">
        <v>44</v>
      </c>
      <c r="J48" t="s">
        <v>58</v>
      </c>
      <c r="K48" t="s">
        <v>17</v>
      </c>
    </row>
    <row r="49" spans="1:11" x14ac:dyDescent="0.3">
      <c r="A49" t="s">
        <v>101</v>
      </c>
      <c r="B49" s="1">
        <v>45699</v>
      </c>
      <c r="C49" t="s">
        <v>35</v>
      </c>
      <c r="D49" t="s">
        <v>36</v>
      </c>
      <c r="E49">
        <v>20</v>
      </c>
      <c r="F49">
        <v>5</v>
      </c>
      <c r="G49">
        <v>100</v>
      </c>
      <c r="H49" t="s">
        <v>80</v>
      </c>
      <c r="I49" t="s">
        <v>26</v>
      </c>
      <c r="J49" t="s">
        <v>27</v>
      </c>
      <c r="K49" t="s">
        <v>40</v>
      </c>
    </row>
    <row r="50" spans="1:11" x14ac:dyDescent="0.3">
      <c r="A50" t="s">
        <v>102</v>
      </c>
      <c r="B50" s="1">
        <v>45706</v>
      </c>
      <c r="C50" t="s">
        <v>42</v>
      </c>
      <c r="D50" t="s">
        <v>20</v>
      </c>
      <c r="E50">
        <v>500</v>
      </c>
      <c r="F50">
        <v>4</v>
      </c>
      <c r="G50">
        <v>2000</v>
      </c>
      <c r="H50" t="s">
        <v>14</v>
      </c>
      <c r="I50" t="s">
        <v>81</v>
      </c>
      <c r="J50" t="s">
        <v>16</v>
      </c>
      <c r="K50" t="s">
        <v>40</v>
      </c>
    </row>
    <row r="51" spans="1:11" x14ac:dyDescent="0.3">
      <c r="A51" t="s">
        <v>103</v>
      </c>
      <c r="B51" s="1">
        <v>45730</v>
      </c>
      <c r="C51" t="s">
        <v>53</v>
      </c>
      <c r="D51" t="s">
        <v>36</v>
      </c>
      <c r="E51">
        <v>40</v>
      </c>
      <c r="F51">
        <v>3</v>
      </c>
      <c r="G51">
        <v>120</v>
      </c>
      <c r="H51" t="s">
        <v>25</v>
      </c>
      <c r="I51" t="s">
        <v>46</v>
      </c>
      <c r="J51" t="s">
        <v>58</v>
      </c>
      <c r="K51" t="s">
        <v>40</v>
      </c>
    </row>
    <row r="52" spans="1:11" x14ac:dyDescent="0.3">
      <c r="A52" t="s">
        <v>104</v>
      </c>
      <c r="B52" s="1">
        <v>45707</v>
      </c>
      <c r="C52" t="s">
        <v>49</v>
      </c>
      <c r="D52" t="s">
        <v>50</v>
      </c>
      <c r="E52">
        <v>15</v>
      </c>
      <c r="F52">
        <v>1</v>
      </c>
      <c r="G52">
        <v>15</v>
      </c>
      <c r="H52" t="s">
        <v>14</v>
      </c>
      <c r="I52" t="s">
        <v>38</v>
      </c>
      <c r="J52" t="s">
        <v>58</v>
      </c>
      <c r="K52" t="s">
        <v>17</v>
      </c>
    </row>
    <row r="53" spans="1:11" x14ac:dyDescent="0.3">
      <c r="A53" t="s">
        <v>105</v>
      </c>
      <c r="B53" s="1">
        <v>45712</v>
      </c>
      <c r="C53" t="s">
        <v>56</v>
      </c>
      <c r="D53" t="s">
        <v>20</v>
      </c>
      <c r="E53">
        <v>800</v>
      </c>
      <c r="F53">
        <v>3</v>
      </c>
      <c r="G53">
        <v>2400</v>
      </c>
      <c r="H53" t="s">
        <v>25</v>
      </c>
      <c r="I53" t="s">
        <v>22</v>
      </c>
      <c r="J53" t="s">
        <v>31</v>
      </c>
      <c r="K53" t="s">
        <v>23</v>
      </c>
    </row>
    <row r="54" spans="1:11" x14ac:dyDescent="0.3">
      <c r="A54" t="s">
        <v>106</v>
      </c>
      <c r="B54" s="1">
        <v>45740</v>
      </c>
      <c r="C54" t="s">
        <v>12</v>
      </c>
      <c r="D54" t="s">
        <v>13</v>
      </c>
      <c r="E54">
        <v>60</v>
      </c>
      <c r="F54">
        <v>4</v>
      </c>
      <c r="G54">
        <v>240</v>
      </c>
      <c r="H54" t="s">
        <v>21</v>
      </c>
      <c r="I54" t="s">
        <v>68</v>
      </c>
      <c r="J54" t="s">
        <v>39</v>
      </c>
      <c r="K54" t="s">
        <v>40</v>
      </c>
    </row>
    <row r="55" spans="1:11" x14ac:dyDescent="0.3">
      <c r="A55" t="s">
        <v>107</v>
      </c>
      <c r="B55" s="1">
        <v>45731</v>
      </c>
      <c r="C55" t="s">
        <v>33</v>
      </c>
      <c r="D55" t="s">
        <v>20</v>
      </c>
      <c r="E55">
        <v>150</v>
      </c>
      <c r="F55">
        <v>3</v>
      </c>
      <c r="G55">
        <v>450</v>
      </c>
      <c r="H55" t="s">
        <v>51</v>
      </c>
      <c r="I55" t="s">
        <v>46</v>
      </c>
      <c r="J55" t="s">
        <v>58</v>
      </c>
      <c r="K55" t="s">
        <v>23</v>
      </c>
    </row>
    <row r="56" spans="1:11" x14ac:dyDescent="0.3">
      <c r="A56" t="s">
        <v>108</v>
      </c>
      <c r="B56" s="1">
        <v>45731</v>
      </c>
      <c r="C56" t="s">
        <v>53</v>
      </c>
      <c r="D56" t="s">
        <v>36</v>
      </c>
      <c r="E56">
        <v>40</v>
      </c>
      <c r="F56">
        <v>2</v>
      </c>
      <c r="G56">
        <v>80</v>
      </c>
      <c r="H56" t="s">
        <v>43</v>
      </c>
      <c r="I56" t="s">
        <v>30</v>
      </c>
      <c r="J56" t="s">
        <v>39</v>
      </c>
      <c r="K56" t="s">
        <v>40</v>
      </c>
    </row>
    <row r="57" spans="1:11" x14ac:dyDescent="0.3">
      <c r="A57" t="s">
        <v>109</v>
      </c>
      <c r="B57" s="1">
        <v>45735</v>
      </c>
      <c r="C57" t="s">
        <v>33</v>
      </c>
      <c r="D57" t="s">
        <v>20</v>
      </c>
      <c r="E57">
        <v>150</v>
      </c>
      <c r="F57">
        <v>2</v>
      </c>
      <c r="G57">
        <v>300</v>
      </c>
      <c r="H57" t="s">
        <v>14</v>
      </c>
      <c r="I57" t="s">
        <v>30</v>
      </c>
      <c r="J57" t="s">
        <v>31</v>
      </c>
      <c r="K57" t="s">
        <v>40</v>
      </c>
    </row>
    <row r="58" spans="1:11" x14ac:dyDescent="0.3">
      <c r="A58" t="s">
        <v>110</v>
      </c>
      <c r="B58" s="1">
        <v>45731</v>
      </c>
      <c r="C58" t="s">
        <v>42</v>
      </c>
      <c r="D58" t="s">
        <v>20</v>
      </c>
      <c r="E58">
        <v>500</v>
      </c>
      <c r="F58">
        <v>1</v>
      </c>
      <c r="G58">
        <v>500</v>
      </c>
      <c r="H58" t="s">
        <v>80</v>
      </c>
      <c r="I58" t="s">
        <v>68</v>
      </c>
      <c r="J58" t="s">
        <v>16</v>
      </c>
      <c r="K58" t="s">
        <v>17</v>
      </c>
    </row>
    <row r="59" spans="1:11" x14ac:dyDescent="0.3">
      <c r="A59" t="s">
        <v>111</v>
      </c>
      <c r="B59" s="1">
        <v>45729</v>
      </c>
      <c r="C59" t="s">
        <v>42</v>
      </c>
      <c r="D59" t="s">
        <v>20</v>
      </c>
      <c r="E59">
        <v>500</v>
      </c>
      <c r="F59">
        <v>1</v>
      </c>
      <c r="G59">
        <v>500</v>
      </c>
      <c r="H59" t="s">
        <v>80</v>
      </c>
      <c r="I59" t="s">
        <v>81</v>
      </c>
      <c r="J59" t="s">
        <v>39</v>
      </c>
      <c r="K59" t="s">
        <v>17</v>
      </c>
    </row>
    <row r="60" spans="1:11" x14ac:dyDescent="0.3">
      <c r="A60" t="s">
        <v>112</v>
      </c>
      <c r="B60" s="1">
        <v>45748</v>
      </c>
      <c r="C60" t="s">
        <v>33</v>
      </c>
      <c r="D60" t="s">
        <v>20</v>
      </c>
      <c r="E60">
        <v>150</v>
      </c>
      <c r="F60">
        <v>2</v>
      </c>
      <c r="G60">
        <v>300</v>
      </c>
      <c r="H60" t="s">
        <v>57</v>
      </c>
      <c r="I60" t="s">
        <v>30</v>
      </c>
      <c r="J60" t="s">
        <v>31</v>
      </c>
      <c r="K60" t="s">
        <v>17</v>
      </c>
    </row>
    <row r="61" spans="1:11" x14ac:dyDescent="0.3">
      <c r="A61" t="s">
        <v>113</v>
      </c>
      <c r="B61" s="1">
        <v>45728</v>
      </c>
      <c r="C61" t="s">
        <v>49</v>
      </c>
      <c r="D61" t="s">
        <v>50</v>
      </c>
      <c r="E61">
        <v>15</v>
      </c>
      <c r="F61">
        <v>5</v>
      </c>
      <c r="G61">
        <v>75</v>
      </c>
      <c r="H61" t="s">
        <v>80</v>
      </c>
      <c r="I61" t="s">
        <v>30</v>
      </c>
      <c r="J61" t="s">
        <v>31</v>
      </c>
      <c r="K61" t="s">
        <v>23</v>
      </c>
    </row>
    <row r="62" spans="1:11" x14ac:dyDescent="0.3">
      <c r="A62" t="s">
        <v>114</v>
      </c>
      <c r="B62" s="1">
        <v>45727</v>
      </c>
      <c r="C62" t="s">
        <v>65</v>
      </c>
      <c r="D62" t="s">
        <v>61</v>
      </c>
      <c r="E62">
        <v>1200</v>
      </c>
      <c r="F62">
        <v>1</v>
      </c>
      <c r="G62">
        <v>1200</v>
      </c>
      <c r="H62" t="s">
        <v>80</v>
      </c>
      <c r="I62" t="s">
        <v>15</v>
      </c>
      <c r="J62" t="s">
        <v>39</v>
      </c>
      <c r="K62" t="s">
        <v>17</v>
      </c>
    </row>
    <row r="63" spans="1:11" x14ac:dyDescent="0.3">
      <c r="A63" t="s">
        <v>115</v>
      </c>
      <c r="B63" s="1">
        <v>45698</v>
      </c>
      <c r="C63" t="s">
        <v>56</v>
      </c>
      <c r="D63" t="s">
        <v>20</v>
      </c>
      <c r="E63">
        <v>800</v>
      </c>
      <c r="F63">
        <v>5</v>
      </c>
      <c r="G63">
        <v>4000</v>
      </c>
      <c r="H63" t="s">
        <v>29</v>
      </c>
      <c r="I63" t="s">
        <v>22</v>
      </c>
      <c r="J63" t="s">
        <v>39</v>
      </c>
      <c r="K63" t="s">
        <v>40</v>
      </c>
    </row>
    <row r="64" spans="1:11" x14ac:dyDescent="0.3">
      <c r="A64" t="s">
        <v>116</v>
      </c>
      <c r="B64" s="1">
        <v>45746</v>
      </c>
      <c r="C64" t="s">
        <v>42</v>
      </c>
      <c r="D64" t="s">
        <v>20</v>
      </c>
      <c r="E64">
        <v>500</v>
      </c>
      <c r="F64">
        <v>5</v>
      </c>
      <c r="G64">
        <v>2500</v>
      </c>
      <c r="H64" t="s">
        <v>14</v>
      </c>
      <c r="I64" t="s">
        <v>44</v>
      </c>
      <c r="J64" t="s">
        <v>58</v>
      </c>
      <c r="K64" t="s">
        <v>40</v>
      </c>
    </row>
    <row r="65" spans="1:11" x14ac:dyDescent="0.3">
      <c r="A65" t="s">
        <v>117</v>
      </c>
      <c r="B65" s="1">
        <v>45701</v>
      </c>
      <c r="C65" t="s">
        <v>65</v>
      </c>
      <c r="D65" t="s">
        <v>61</v>
      </c>
      <c r="E65">
        <v>1200</v>
      </c>
      <c r="F65">
        <v>4</v>
      </c>
      <c r="G65">
        <v>4800</v>
      </c>
      <c r="H65" t="s">
        <v>21</v>
      </c>
      <c r="I65" t="s">
        <v>26</v>
      </c>
      <c r="J65" t="s">
        <v>39</v>
      </c>
      <c r="K65" t="s">
        <v>23</v>
      </c>
    </row>
    <row r="66" spans="1:11" x14ac:dyDescent="0.3">
      <c r="A66" t="s">
        <v>118</v>
      </c>
      <c r="B66" s="1">
        <v>45732</v>
      </c>
      <c r="C66" t="s">
        <v>49</v>
      </c>
      <c r="D66" t="s">
        <v>50</v>
      </c>
      <c r="E66">
        <v>15</v>
      </c>
      <c r="F66">
        <v>3</v>
      </c>
      <c r="G66">
        <v>45</v>
      </c>
      <c r="H66" t="s">
        <v>14</v>
      </c>
      <c r="I66" t="s">
        <v>22</v>
      </c>
      <c r="J66" t="s">
        <v>27</v>
      </c>
      <c r="K66" t="s">
        <v>23</v>
      </c>
    </row>
    <row r="67" spans="1:11" x14ac:dyDescent="0.3">
      <c r="A67" t="s">
        <v>119</v>
      </c>
      <c r="B67" s="1">
        <v>45730</v>
      </c>
      <c r="C67" t="s">
        <v>33</v>
      </c>
      <c r="D67" t="s">
        <v>20</v>
      </c>
      <c r="E67">
        <v>150</v>
      </c>
      <c r="F67">
        <v>2</v>
      </c>
      <c r="G67">
        <v>300</v>
      </c>
      <c r="H67" t="s">
        <v>54</v>
      </c>
      <c r="I67" t="s">
        <v>26</v>
      </c>
      <c r="J67" t="s">
        <v>39</v>
      </c>
      <c r="K67" t="s">
        <v>23</v>
      </c>
    </row>
    <row r="68" spans="1:11" x14ac:dyDescent="0.3">
      <c r="A68" t="s">
        <v>120</v>
      </c>
      <c r="B68" s="1">
        <v>45747</v>
      </c>
      <c r="C68" t="s">
        <v>19</v>
      </c>
      <c r="D68" t="s">
        <v>20</v>
      </c>
      <c r="E68">
        <v>100</v>
      </c>
      <c r="F68">
        <v>3</v>
      </c>
      <c r="G68">
        <v>300</v>
      </c>
      <c r="H68" t="s">
        <v>72</v>
      </c>
      <c r="I68" t="s">
        <v>15</v>
      </c>
      <c r="J68" t="s">
        <v>16</v>
      </c>
      <c r="K68" t="s">
        <v>23</v>
      </c>
    </row>
    <row r="69" spans="1:11" x14ac:dyDescent="0.3">
      <c r="A69" t="s">
        <v>121</v>
      </c>
      <c r="B69" s="1">
        <v>45711</v>
      </c>
      <c r="C69" t="s">
        <v>19</v>
      </c>
      <c r="D69" t="s">
        <v>20</v>
      </c>
      <c r="E69">
        <v>100</v>
      </c>
      <c r="F69">
        <v>1</v>
      </c>
      <c r="G69">
        <v>100</v>
      </c>
      <c r="H69" t="s">
        <v>51</v>
      </c>
      <c r="I69" t="s">
        <v>38</v>
      </c>
      <c r="J69" t="s">
        <v>16</v>
      </c>
      <c r="K69" t="s">
        <v>17</v>
      </c>
    </row>
    <row r="70" spans="1:11" x14ac:dyDescent="0.3">
      <c r="A70" t="s">
        <v>122</v>
      </c>
      <c r="B70" s="1">
        <v>45713</v>
      </c>
      <c r="C70" t="s">
        <v>65</v>
      </c>
      <c r="D70" t="s">
        <v>61</v>
      </c>
      <c r="E70">
        <v>1200</v>
      </c>
      <c r="F70">
        <v>4</v>
      </c>
      <c r="G70">
        <v>4800</v>
      </c>
      <c r="H70" t="s">
        <v>51</v>
      </c>
      <c r="I70" t="s">
        <v>46</v>
      </c>
      <c r="J70" t="s">
        <v>58</v>
      </c>
      <c r="K70" t="s">
        <v>23</v>
      </c>
    </row>
    <row r="71" spans="1:11" x14ac:dyDescent="0.3">
      <c r="A71" t="s">
        <v>123</v>
      </c>
      <c r="B71" s="1">
        <v>45726</v>
      </c>
      <c r="C71" t="s">
        <v>49</v>
      </c>
      <c r="D71" t="s">
        <v>50</v>
      </c>
      <c r="E71">
        <v>15</v>
      </c>
      <c r="F71">
        <v>1</v>
      </c>
      <c r="G71">
        <v>15</v>
      </c>
      <c r="H71" t="s">
        <v>21</v>
      </c>
      <c r="I71" t="s">
        <v>46</v>
      </c>
      <c r="J71" t="s">
        <v>31</v>
      </c>
      <c r="K71" t="s">
        <v>40</v>
      </c>
    </row>
    <row r="72" spans="1:11" x14ac:dyDescent="0.3">
      <c r="A72" t="s">
        <v>124</v>
      </c>
      <c r="B72" s="1">
        <v>45732</v>
      </c>
      <c r="C72" t="s">
        <v>33</v>
      </c>
      <c r="D72" t="s">
        <v>20</v>
      </c>
      <c r="E72">
        <v>150</v>
      </c>
      <c r="F72">
        <v>5</v>
      </c>
      <c r="G72">
        <v>750</v>
      </c>
      <c r="H72" t="s">
        <v>25</v>
      </c>
      <c r="I72" t="s">
        <v>26</v>
      </c>
      <c r="J72" t="s">
        <v>31</v>
      </c>
      <c r="K72" t="s">
        <v>23</v>
      </c>
    </row>
    <row r="73" spans="1:11" x14ac:dyDescent="0.3">
      <c r="A73" t="s">
        <v>125</v>
      </c>
      <c r="B73" s="1">
        <v>45723</v>
      </c>
      <c r="C73" t="s">
        <v>56</v>
      </c>
      <c r="D73" t="s">
        <v>20</v>
      </c>
      <c r="E73">
        <v>800</v>
      </c>
      <c r="F73">
        <v>3</v>
      </c>
      <c r="G73">
        <v>2400</v>
      </c>
      <c r="H73" t="s">
        <v>57</v>
      </c>
      <c r="I73" t="s">
        <v>38</v>
      </c>
      <c r="J73" t="s">
        <v>31</v>
      </c>
      <c r="K73" t="s">
        <v>23</v>
      </c>
    </row>
    <row r="74" spans="1:11" x14ac:dyDescent="0.3">
      <c r="A74" t="s">
        <v>126</v>
      </c>
      <c r="B74" s="1">
        <v>45708</v>
      </c>
      <c r="C74" t="s">
        <v>42</v>
      </c>
      <c r="D74" t="s">
        <v>20</v>
      </c>
      <c r="E74">
        <v>500</v>
      </c>
      <c r="F74">
        <v>5</v>
      </c>
      <c r="G74">
        <v>2500</v>
      </c>
      <c r="H74" t="s">
        <v>21</v>
      </c>
      <c r="I74" t="s">
        <v>44</v>
      </c>
      <c r="J74" t="s">
        <v>31</v>
      </c>
      <c r="K74" t="s">
        <v>17</v>
      </c>
    </row>
    <row r="75" spans="1:11" x14ac:dyDescent="0.3">
      <c r="A75" t="s">
        <v>127</v>
      </c>
      <c r="B75" s="1">
        <v>45741</v>
      </c>
      <c r="C75" t="s">
        <v>65</v>
      </c>
      <c r="D75" t="s">
        <v>61</v>
      </c>
      <c r="E75">
        <v>1200</v>
      </c>
      <c r="F75">
        <v>4</v>
      </c>
      <c r="G75">
        <v>4800</v>
      </c>
      <c r="H75" t="s">
        <v>80</v>
      </c>
      <c r="I75" t="s">
        <v>30</v>
      </c>
      <c r="J75" t="s">
        <v>58</v>
      </c>
      <c r="K75" t="s">
        <v>17</v>
      </c>
    </row>
    <row r="76" spans="1:11" x14ac:dyDescent="0.3">
      <c r="A76" t="s">
        <v>128</v>
      </c>
      <c r="B76" s="1">
        <v>45714</v>
      </c>
      <c r="C76" t="s">
        <v>19</v>
      </c>
      <c r="D76" t="s">
        <v>20</v>
      </c>
      <c r="E76">
        <v>100</v>
      </c>
      <c r="F76">
        <v>2</v>
      </c>
      <c r="G76">
        <v>200</v>
      </c>
      <c r="H76" t="s">
        <v>57</v>
      </c>
      <c r="I76" t="s">
        <v>46</v>
      </c>
      <c r="J76" t="s">
        <v>39</v>
      </c>
      <c r="K76" t="s">
        <v>23</v>
      </c>
    </row>
    <row r="77" spans="1:11" x14ac:dyDescent="0.3">
      <c r="A77" t="s">
        <v>129</v>
      </c>
      <c r="B77" s="1">
        <v>45712</v>
      </c>
      <c r="C77" t="s">
        <v>60</v>
      </c>
      <c r="D77" t="s">
        <v>61</v>
      </c>
      <c r="E77">
        <v>600</v>
      </c>
      <c r="F77">
        <v>1</v>
      </c>
      <c r="G77">
        <v>600</v>
      </c>
      <c r="H77" t="s">
        <v>80</v>
      </c>
      <c r="I77" t="s">
        <v>30</v>
      </c>
      <c r="J77" t="s">
        <v>27</v>
      </c>
      <c r="K77" t="s">
        <v>40</v>
      </c>
    </row>
    <row r="78" spans="1:11" x14ac:dyDescent="0.3">
      <c r="A78" t="s">
        <v>130</v>
      </c>
      <c r="B78" s="1">
        <v>45736</v>
      </c>
      <c r="C78" t="s">
        <v>19</v>
      </c>
      <c r="D78" t="s">
        <v>20</v>
      </c>
      <c r="E78">
        <v>100</v>
      </c>
      <c r="F78">
        <v>2</v>
      </c>
      <c r="G78">
        <v>200</v>
      </c>
      <c r="H78" t="s">
        <v>57</v>
      </c>
      <c r="I78" t="s">
        <v>38</v>
      </c>
      <c r="J78" t="s">
        <v>31</v>
      </c>
      <c r="K78" t="s">
        <v>40</v>
      </c>
    </row>
    <row r="79" spans="1:11" x14ac:dyDescent="0.3">
      <c r="A79" t="s">
        <v>131</v>
      </c>
      <c r="B79" s="1">
        <v>45734</v>
      </c>
      <c r="C79" t="s">
        <v>33</v>
      </c>
      <c r="D79" t="s">
        <v>20</v>
      </c>
      <c r="E79">
        <v>150</v>
      </c>
      <c r="F79">
        <v>2</v>
      </c>
      <c r="G79">
        <v>300</v>
      </c>
      <c r="H79" t="s">
        <v>14</v>
      </c>
      <c r="I79" t="s">
        <v>68</v>
      </c>
      <c r="J79" t="s">
        <v>58</v>
      </c>
      <c r="K79" t="s">
        <v>17</v>
      </c>
    </row>
    <row r="80" spans="1:11" x14ac:dyDescent="0.3">
      <c r="A80" t="s">
        <v>132</v>
      </c>
      <c r="B80" s="1">
        <v>45725</v>
      </c>
      <c r="C80" t="s">
        <v>12</v>
      </c>
      <c r="D80" t="s">
        <v>13</v>
      </c>
      <c r="E80">
        <v>60</v>
      </c>
      <c r="F80">
        <v>2</v>
      </c>
      <c r="G80">
        <v>120</v>
      </c>
      <c r="H80" t="s">
        <v>21</v>
      </c>
      <c r="I80" t="s">
        <v>26</v>
      </c>
      <c r="J80" t="s">
        <v>58</v>
      </c>
      <c r="K80" t="s">
        <v>17</v>
      </c>
    </row>
    <row r="81" spans="1:11" x14ac:dyDescent="0.3">
      <c r="A81" t="s">
        <v>133</v>
      </c>
      <c r="B81" s="1">
        <v>45711</v>
      </c>
      <c r="C81" t="s">
        <v>12</v>
      </c>
      <c r="D81" t="s">
        <v>13</v>
      </c>
      <c r="E81">
        <v>60</v>
      </c>
      <c r="F81">
        <v>4</v>
      </c>
      <c r="G81">
        <v>240</v>
      </c>
      <c r="H81" t="s">
        <v>43</v>
      </c>
      <c r="I81" t="s">
        <v>22</v>
      </c>
      <c r="J81" t="s">
        <v>16</v>
      </c>
      <c r="K81" t="s">
        <v>23</v>
      </c>
    </row>
    <row r="82" spans="1:11" x14ac:dyDescent="0.3">
      <c r="A82" t="s">
        <v>134</v>
      </c>
      <c r="B82" s="1">
        <v>45714</v>
      </c>
      <c r="C82" t="s">
        <v>19</v>
      </c>
      <c r="D82" t="s">
        <v>20</v>
      </c>
      <c r="E82">
        <v>100</v>
      </c>
      <c r="F82">
        <v>3</v>
      </c>
      <c r="G82">
        <v>300</v>
      </c>
      <c r="H82" t="s">
        <v>54</v>
      </c>
      <c r="I82" t="s">
        <v>81</v>
      </c>
      <c r="J82" t="s">
        <v>39</v>
      </c>
      <c r="K82" t="s">
        <v>17</v>
      </c>
    </row>
    <row r="83" spans="1:11" x14ac:dyDescent="0.3">
      <c r="A83" t="s">
        <v>135</v>
      </c>
      <c r="B83" s="1">
        <v>45712</v>
      </c>
      <c r="C83" t="s">
        <v>42</v>
      </c>
      <c r="D83" t="s">
        <v>20</v>
      </c>
      <c r="E83">
        <v>500</v>
      </c>
      <c r="F83">
        <v>3</v>
      </c>
      <c r="G83">
        <v>1500</v>
      </c>
      <c r="H83" t="s">
        <v>80</v>
      </c>
      <c r="I83" t="s">
        <v>63</v>
      </c>
      <c r="J83" t="s">
        <v>16</v>
      </c>
      <c r="K83" t="s">
        <v>17</v>
      </c>
    </row>
    <row r="84" spans="1:11" x14ac:dyDescent="0.3">
      <c r="A84" t="s">
        <v>136</v>
      </c>
      <c r="B84" s="1">
        <v>45716</v>
      </c>
      <c r="C84" t="s">
        <v>60</v>
      </c>
      <c r="D84" t="s">
        <v>61</v>
      </c>
      <c r="E84">
        <v>600</v>
      </c>
      <c r="F84">
        <v>4</v>
      </c>
      <c r="G84">
        <v>2400</v>
      </c>
      <c r="H84" t="s">
        <v>14</v>
      </c>
      <c r="I84" t="s">
        <v>38</v>
      </c>
      <c r="J84" t="s">
        <v>58</v>
      </c>
      <c r="K84" t="s">
        <v>17</v>
      </c>
    </row>
    <row r="85" spans="1:11" x14ac:dyDescent="0.3">
      <c r="A85" t="s">
        <v>137</v>
      </c>
      <c r="B85" s="1">
        <v>45702</v>
      </c>
      <c r="C85" t="s">
        <v>35</v>
      </c>
      <c r="D85" t="s">
        <v>36</v>
      </c>
      <c r="E85">
        <v>20</v>
      </c>
      <c r="F85">
        <v>5</v>
      </c>
      <c r="G85">
        <v>100</v>
      </c>
      <c r="H85" t="s">
        <v>29</v>
      </c>
      <c r="I85" t="s">
        <v>46</v>
      </c>
      <c r="J85" t="s">
        <v>39</v>
      </c>
      <c r="K85" t="s">
        <v>40</v>
      </c>
    </row>
    <row r="86" spans="1:11" x14ac:dyDescent="0.3">
      <c r="A86" t="s">
        <v>138</v>
      </c>
      <c r="B86" s="1">
        <v>45694</v>
      </c>
      <c r="C86" t="s">
        <v>42</v>
      </c>
      <c r="D86" t="s">
        <v>20</v>
      </c>
      <c r="E86">
        <v>500</v>
      </c>
      <c r="F86">
        <v>5</v>
      </c>
      <c r="G86">
        <v>2500</v>
      </c>
      <c r="H86" t="s">
        <v>54</v>
      </c>
      <c r="I86" t="s">
        <v>38</v>
      </c>
      <c r="J86" t="s">
        <v>39</v>
      </c>
      <c r="K86" t="s">
        <v>40</v>
      </c>
    </row>
    <row r="87" spans="1:11" x14ac:dyDescent="0.3">
      <c r="A87" t="s">
        <v>139</v>
      </c>
      <c r="B87" s="1">
        <v>45713</v>
      </c>
      <c r="C87" t="s">
        <v>33</v>
      </c>
      <c r="D87" t="s">
        <v>20</v>
      </c>
      <c r="E87">
        <v>150</v>
      </c>
      <c r="F87">
        <v>5</v>
      </c>
      <c r="G87">
        <v>750</v>
      </c>
      <c r="H87" t="s">
        <v>80</v>
      </c>
      <c r="I87" t="s">
        <v>30</v>
      </c>
      <c r="J87" t="s">
        <v>39</v>
      </c>
      <c r="K87" t="s">
        <v>17</v>
      </c>
    </row>
    <row r="88" spans="1:11" x14ac:dyDescent="0.3">
      <c r="A88" t="s">
        <v>140</v>
      </c>
      <c r="B88" s="1">
        <v>45729</v>
      </c>
      <c r="C88" t="s">
        <v>12</v>
      </c>
      <c r="D88" t="s">
        <v>13</v>
      </c>
      <c r="E88">
        <v>60</v>
      </c>
      <c r="F88">
        <v>5</v>
      </c>
      <c r="G88">
        <v>300</v>
      </c>
      <c r="H88" t="s">
        <v>14</v>
      </c>
      <c r="I88" t="s">
        <v>44</v>
      </c>
      <c r="J88" t="s">
        <v>16</v>
      </c>
      <c r="K88" t="s">
        <v>40</v>
      </c>
    </row>
    <row r="89" spans="1:11" x14ac:dyDescent="0.3">
      <c r="A89" t="s">
        <v>141</v>
      </c>
      <c r="B89" s="1">
        <v>45694</v>
      </c>
      <c r="C89" t="s">
        <v>65</v>
      </c>
      <c r="D89" t="s">
        <v>61</v>
      </c>
      <c r="E89">
        <v>1200</v>
      </c>
      <c r="F89">
        <v>2</v>
      </c>
      <c r="G89">
        <v>2400</v>
      </c>
      <c r="H89" t="s">
        <v>72</v>
      </c>
      <c r="I89" t="s">
        <v>63</v>
      </c>
      <c r="J89" t="s">
        <v>16</v>
      </c>
      <c r="K89" t="s">
        <v>23</v>
      </c>
    </row>
    <row r="90" spans="1:11" x14ac:dyDescent="0.3">
      <c r="A90" t="s">
        <v>142</v>
      </c>
      <c r="B90" s="1">
        <v>45742</v>
      </c>
      <c r="C90" t="s">
        <v>12</v>
      </c>
      <c r="D90" t="s">
        <v>13</v>
      </c>
      <c r="E90">
        <v>60</v>
      </c>
      <c r="F90">
        <v>5</v>
      </c>
      <c r="G90">
        <v>300</v>
      </c>
      <c r="H90" t="s">
        <v>14</v>
      </c>
      <c r="I90" t="s">
        <v>68</v>
      </c>
      <c r="J90" t="s">
        <v>31</v>
      </c>
      <c r="K90" t="s">
        <v>17</v>
      </c>
    </row>
    <row r="91" spans="1:11" x14ac:dyDescent="0.3">
      <c r="A91" t="s">
        <v>143</v>
      </c>
      <c r="B91" s="1">
        <v>45740</v>
      </c>
      <c r="C91" t="s">
        <v>33</v>
      </c>
      <c r="D91" t="s">
        <v>20</v>
      </c>
      <c r="E91">
        <v>150</v>
      </c>
      <c r="F91">
        <v>5</v>
      </c>
      <c r="G91">
        <v>750</v>
      </c>
      <c r="H91" t="s">
        <v>21</v>
      </c>
      <c r="I91" t="s">
        <v>38</v>
      </c>
      <c r="J91" t="s">
        <v>27</v>
      </c>
      <c r="K91" t="s">
        <v>40</v>
      </c>
    </row>
    <row r="92" spans="1:11" x14ac:dyDescent="0.3">
      <c r="A92" t="s">
        <v>144</v>
      </c>
      <c r="B92" s="1">
        <v>45691</v>
      </c>
      <c r="C92" t="s">
        <v>56</v>
      </c>
      <c r="D92" t="s">
        <v>20</v>
      </c>
      <c r="E92">
        <v>800</v>
      </c>
      <c r="F92">
        <v>4</v>
      </c>
      <c r="G92">
        <v>3200</v>
      </c>
      <c r="H92" t="s">
        <v>57</v>
      </c>
      <c r="I92" t="s">
        <v>38</v>
      </c>
      <c r="J92" t="s">
        <v>58</v>
      </c>
      <c r="K92" t="s">
        <v>23</v>
      </c>
    </row>
    <row r="93" spans="1:11" x14ac:dyDescent="0.3">
      <c r="A93" t="s">
        <v>145</v>
      </c>
      <c r="B93" s="1">
        <v>45731</v>
      </c>
      <c r="C93" t="s">
        <v>42</v>
      </c>
      <c r="D93" t="s">
        <v>20</v>
      </c>
      <c r="E93">
        <v>500</v>
      </c>
      <c r="F93">
        <v>2</v>
      </c>
      <c r="G93">
        <v>1000</v>
      </c>
      <c r="H93" t="s">
        <v>29</v>
      </c>
      <c r="I93" t="s">
        <v>46</v>
      </c>
      <c r="J93" t="s">
        <v>39</v>
      </c>
      <c r="K93" t="s">
        <v>17</v>
      </c>
    </row>
    <row r="94" spans="1:11" x14ac:dyDescent="0.3">
      <c r="A94" t="s">
        <v>146</v>
      </c>
      <c r="B94" s="1">
        <v>45722</v>
      </c>
      <c r="C94" t="s">
        <v>65</v>
      </c>
      <c r="D94" t="s">
        <v>61</v>
      </c>
      <c r="E94">
        <v>1200</v>
      </c>
      <c r="F94">
        <v>5</v>
      </c>
      <c r="G94">
        <v>6000</v>
      </c>
      <c r="H94" t="s">
        <v>51</v>
      </c>
      <c r="I94" t="s">
        <v>26</v>
      </c>
      <c r="J94" t="s">
        <v>39</v>
      </c>
      <c r="K94" t="s">
        <v>17</v>
      </c>
    </row>
    <row r="95" spans="1:11" x14ac:dyDescent="0.3">
      <c r="A95" t="s">
        <v>147</v>
      </c>
      <c r="B95" s="1">
        <v>45741</v>
      </c>
      <c r="C95" t="s">
        <v>53</v>
      </c>
      <c r="D95" t="s">
        <v>36</v>
      </c>
      <c r="E95">
        <v>40</v>
      </c>
      <c r="F95">
        <v>5</v>
      </c>
      <c r="G95">
        <v>200</v>
      </c>
      <c r="H95" t="s">
        <v>57</v>
      </c>
      <c r="I95" t="s">
        <v>63</v>
      </c>
      <c r="J95" t="s">
        <v>31</v>
      </c>
      <c r="K95" t="s">
        <v>17</v>
      </c>
    </row>
    <row r="96" spans="1:11" x14ac:dyDescent="0.3">
      <c r="A96" t="s">
        <v>148</v>
      </c>
      <c r="B96" s="1">
        <v>45705</v>
      </c>
      <c r="C96" t="s">
        <v>33</v>
      </c>
      <c r="D96" t="s">
        <v>20</v>
      </c>
      <c r="E96">
        <v>150</v>
      </c>
      <c r="F96">
        <v>4</v>
      </c>
      <c r="G96">
        <v>600</v>
      </c>
      <c r="H96" t="s">
        <v>72</v>
      </c>
      <c r="I96" t="s">
        <v>15</v>
      </c>
      <c r="J96" t="s">
        <v>16</v>
      </c>
      <c r="K96" t="s">
        <v>17</v>
      </c>
    </row>
    <row r="97" spans="1:11" x14ac:dyDescent="0.3">
      <c r="A97" t="s">
        <v>149</v>
      </c>
      <c r="B97" s="1">
        <v>45746</v>
      </c>
      <c r="C97" t="s">
        <v>33</v>
      </c>
      <c r="D97" t="s">
        <v>20</v>
      </c>
      <c r="E97">
        <v>150</v>
      </c>
      <c r="F97">
        <v>3</v>
      </c>
      <c r="G97">
        <v>450</v>
      </c>
      <c r="H97" t="s">
        <v>80</v>
      </c>
      <c r="I97" t="s">
        <v>15</v>
      </c>
      <c r="J97" t="s">
        <v>27</v>
      </c>
      <c r="K97" t="s">
        <v>40</v>
      </c>
    </row>
    <row r="98" spans="1:11" x14ac:dyDescent="0.3">
      <c r="A98" t="s">
        <v>150</v>
      </c>
      <c r="B98" s="1">
        <v>45741</v>
      </c>
      <c r="C98" t="s">
        <v>49</v>
      </c>
      <c r="D98" t="s">
        <v>50</v>
      </c>
      <c r="E98">
        <v>15</v>
      </c>
      <c r="F98">
        <v>5</v>
      </c>
      <c r="G98">
        <v>75</v>
      </c>
      <c r="H98" t="s">
        <v>29</v>
      </c>
      <c r="I98" t="s">
        <v>81</v>
      </c>
      <c r="J98" t="s">
        <v>27</v>
      </c>
      <c r="K98" t="s">
        <v>23</v>
      </c>
    </row>
    <row r="99" spans="1:11" x14ac:dyDescent="0.3">
      <c r="A99" t="s">
        <v>151</v>
      </c>
      <c r="B99" s="1">
        <v>45702</v>
      </c>
      <c r="C99" t="s">
        <v>33</v>
      </c>
      <c r="D99" t="s">
        <v>20</v>
      </c>
      <c r="E99">
        <v>150</v>
      </c>
      <c r="F99">
        <v>2</v>
      </c>
      <c r="G99">
        <v>300</v>
      </c>
      <c r="H99" t="s">
        <v>72</v>
      </c>
      <c r="I99" t="s">
        <v>44</v>
      </c>
      <c r="J99" t="s">
        <v>39</v>
      </c>
      <c r="K99" t="s">
        <v>23</v>
      </c>
    </row>
    <row r="100" spans="1:11" x14ac:dyDescent="0.3">
      <c r="A100" t="s">
        <v>152</v>
      </c>
      <c r="B100" s="1">
        <v>45706</v>
      </c>
      <c r="C100" t="s">
        <v>60</v>
      </c>
      <c r="D100" t="s">
        <v>61</v>
      </c>
      <c r="E100">
        <v>600</v>
      </c>
      <c r="F100">
        <v>5</v>
      </c>
      <c r="G100">
        <v>3000</v>
      </c>
      <c r="H100" t="s">
        <v>54</v>
      </c>
      <c r="I100" t="s">
        <v>63</v>
      </c>
      <c r="J100" t="s">
        <v>16</v>
      </c>
      <c r="K100" t="s">
        <v>40</v>
      </c>
    </row>
    <row r="101" spans="1:11" x14ac:dyDescent="0.3">
      <c r="A101" t="s">
        <v>153</v>
      </c>
      <c r="B101" s="1">
        <v>45701</v>
      </c>
      <c r="C101" t="s">
        <v>12</v>
      </c>
      <c r="D101" t="s">
        <v>13</v>
      </c>
      <c r="E101">
        <v>60</v>
      </c>
      <c r="F101">
        <v>1</v>
      </c>
      <c r="G101">
        <v>60</v>
      </c>
      <c r="H101" t="s">
        <v>80</v>
      </c>
      <c r="I101" t="s">
        <v>38</v>
      </c>
      <c r="J101" t="s">
        <v>58</v>
      </c>
      <c r="K101" t="s">
        <v>17</v>
      </c>
    </row>
    <row r="102" spans="1:11" x14ac:dyDescent="0.3">
      <c r="A102" t="s">
        <v>154</v>
      </c>
      <c r="B102" s="1">
        <v>45708</v>
      </c>
      <c r="C102" t="s">
        <v>49</v>
      </c>
      <c r="D102" t="s">
        <v>50</v>
      </c>
      <c r="E102">
        <v>15</v>
      </c>
      <c r="F102">
        <v>5</v>
      </c>
      <c r="G102">
        <v>75</v>
      </c>
      <c r="H102" t="s">
        <v>25</v>
      </c>
      <c r="I102" t="s">
        <v>26</v>
      </c>
      <c r="J102" t="s">
        <v>39</v>
      </c>
      <c r="K102" t="s">
        <v>23</v>
      </c>
    </row>
    <row r="103" spans="1:11" x14ac:dyDescent="0.3">
      <c r="A103" t="s">
        <v>155</v>
      </c>
      <c r="B103" s="1">
        <v>45716</v>
      </c>
      <c r="C103" t="s">
        <v>42</v>
      </c>
      <c r="D103" t="s">
        <v>20</v>
      </c>
      <c r="E103">
        <v>500</v>
      </c>
      <c r="F103">
        <v>2</v>
      </c>
      <c r="G103">
        <v>1000</v>
      </c>
      <c r="H103" t="s">
        <v>51</v>
      </c>
      <c r="I103" t="s">
        <v>46</v>
      </c>
      <c r="J103" t="s">
        <v>39</v>
      </c>
      <c r="K103" t="s">
        <v>23</v>
      </c>
    </row>
    <row r="104" spans="1:11" x14ac:dyDescent="0.3">
      <c r="A104" t="s">
        <v>156</v>
      </c>
      <c r="B104" s="1">
        <v>45730</v>
      </c>
      <c r="C104" t="s">
        <v>35</v>
      </c>
      <c r="D104" t="s">
        <v>36</v>
      </c>
      <c r="E104">
        <v>20</v>
      </c>
      <c r="F104">
        <v>2</v>
      </c>
      <c r="G104">
        <v>40</v>
      </c>
      <c r="H104" t="s">
        <v>54</v>
      </c>
      <c r="I104" t="s">
        <v>81</v>
      </c>
      <c r="J104" t="s">
        <v>39</v>
      </c>
      <c r="K104" t="s">
        <v>23</v>
      </c>
    </row>
    <row r="105" spans="1:11" x14ac:dyDescent="0.3">
      <c r="A105" t="s">
        <v>157</v>
      </c>
      <c r="B105" s="1">
        <v>45710</v>
      </c>
      <c r="C105" t="s">
        <v>53</v>
      </c>
      <c r="D105" t="s">
        <v>36</v>
      </c>
      <c r="E105">
        <v>40</v>
      </c>
      <c r="F105">
        <v>5</v>
      </c>
      <c r="G105">
        <v>200</v>
      </c>
      <c r="H105" t="s">
        <v>80</v>
      </c>
      <c r="I105" t="s">
        <v>30</v>
      </c>
      <c r="J105" t="s">
        <v>16</v>
      </c>
      <c r="K105" t="s">
        <v>23</v>
      </c>
    </row>
    <row r="106" spans="1:11" x14ac:dyDescent="0.3">
      <c r="A106" t="s">
        <v>158</v>
      </c>
      <c r="B106" s="1">
        <v>45732</v>
      </c>
      <c r="C106" t="s">
        <v>53</v>
      </c>
      <c r="D106" t="s">
        <v>36</v>
      </c>
      <c r="E106">
        <v>40</v>
      </c>
      <c r="F106">
        <v>1</v>
      </c>
      <c r="G106">
        <v>40</v>
      </c>
      <c r="H106" t="s">
        <v>80</v>
      </c>
      <c r="I106" t="s">
        <v>46</v>
      </c>
      <c r="J106" t="s">
        <v>16</v>
      </c>
      <c r="K106" t="s">
        <v>23</v>
      </c>
    </row>
    <row r="107" spans="1:11" x14ac:dyDescent="0.3">
      <c r="A107" t="s">
        <v>159</v>
      </c>
      <c r="B107" s="1">
        <v>45731</v>
      </c>
      <c r="C107" t="s">
        <v>35</v>
      </c>
      <c r="D107" t="s">
        <v>36</v>
      </c>
      <c r="E107">
        <v>20</v>
      </c>
      <c r="F107">
        <v>3</v>
      </c>
      <c r="G107">
        <v>60</v>
      </c>
      <c r="H107" t="s">
        <v>29</v>
      </c>
      <c r="I107" t="s">
        <v>81</v>
      </c>
      <c r="J107" t="s">
        <v>39</v>
      </c>
      <c r="K107" t="s">
        <v>23</v>
      </c>
    </row>
    <row r="108" spans="1:11" x14ac:dyDescent="0.3">
      <c r="A108" t="s">
        <v>160</v>
      </c>
      <c r="B108" s="1">
        <v>45735</v>
      </c>
      <c r="C108" t="s">
        <v>53</v>
      </c>
      <c r="D108" t="s">
        <v>36</v>
      </c>
      <c r="E108">
        <v>40</v>
      </c>
      <c r="F108">
        <v>3</v>
      </c>
      <c r="G108">
        <v>120</v>
      </c>
      <c r="H108" t="s">
        <v>29</v>
      </c>
      <c r="I108" t="s">
        <v>30</v>
      </c>
      <c r="J108" t="s">
        <v>31</v>
      </c>
      <c r="K108" t="s">
        <v>17</v>
      </c>
    </row>
    <row r="109" spans="1:11" x14ac:dyDescent="0.3">
      <c r="A109" t="s">
        <v>161</v>
      </c>
      <c r="B109" s="1">
        <v>45732</v>
      </c>
      <c r="C109" t="s">
        <v>19</v>
      </c>
      <c r="D109" t="s">
        <v>20</v>
      </c>
      <c r="E109">
        <v>100</v>
      </c>
      <c r="F109">
        <v>2</v>
      </c>
      <c r="G109">
        <v>200</v>
      </c>
      <c r="H109" t="s">
        <v>57</v>
      </c>
      <c r="I109" t="s">
        <v>44</v>
      </c>
      <c r="J109" t="s">
        <v>39</v>
      </c>
      <c r="K109" t="s">
        <v>23</v>
      </c>
    </row>
    <row r="110" spans="1:11" x14ac:dyDescent="0.3">
      <c r="A110" t="s">
        <v>162</v>
      </c>
      <c r="B110" s="1">
        <v>45733</v>
      </c>
      <c r="C110" t="s">
        <v>53</v>
      </c>
      <c r="D110" t="s">
        <v>36</v>
      </c>
      <c r="E110">
        <v>40</v>
      </c>
      <c r="F110">
        <v>5</v>
      </c>
      <c r="G110">
        <v>200</v>
      </c>
      <c r="H110" t="s">
        <v>54</v>
      </c>
      <c r="I110" t="s">
        <v>15</v>
      </c>
      <c r="J110" t="s">
        <v>39</v>
      </c>
      <c r="K110" t="s">
        <v>40</v>
      </c>
    </row>
    <row r="111" spans="1:11" x14ac:dyDescent="0.3">
      <c r="A111" t="s">
        <v>163</v>
      </c>
      <c r="B111" s="1">
        <v>45706</v>
      </c>
      <c r="C111" t="s">
        <v>42</v>
      </c>
      <c r="D111" t="s">
        <v>20</v>
      </c>
      <c r="E111">
        <v>500</v>
      </c>
      <c r="F111">
        <v>5</v>
      </c>
      <c r="G111">
        <v>2500</v>
      </c>
      <c r="H111" t="s">
        <v>29</v>
      </c>
      <c r="I111" t="s">
        <v>30</v>
      </c>
      <c r="J111" t="s">
        <v>27</v>
      </c>
      <c r="K111" t="s">
        <v>23</v>
      </c>
    </row>
    <row r="112" spans="1:11" x14ac:dyDescent="0.3">
      <c r="A112" t="s">
        <v>164</v>
      </c>
      <c r="B112" s="1">
        <v>45747</v>
      </c>
      <c r="C112" t="s">
        <v>56</v>
      </c>
      <c r="D112" t="s">
        <v>20</v>
      </c>
      <c r="E112">
        <v>800</v>
      </c>
      <c r="F112">
        <v>4</v>
      </c>
      <c r="G112">
        <v>3200</v>
      </c>
      <c r="H112" t="s">
        <v>14</v>
      </c>
      <c r="I112" t="s">
        <v>68</v>
      </c>
      <c r="J112" t="s">
        <v>31</v>
      </c>
      <c r="K112" t="s">
        <v>40</v>
      </c>
    </row>
    <row r="113" spans="1:11" x14ac:dyDescent="0.3">
      <c r="A113" t="s">
        <v>165</v>
      </c>
      <c r="B113" s="1">
        <v>45722</v>
      </c>
      <c r="C113" t="s">
        <v>60</v>
      </c>
      <c r="D113" t="s">
        <v>61</v>
      </c>
      <c r="E113">
        <v>600</v>
      </c>
      <c r="F113">
        <v>2</v>
      </c>
      <c r="G113">
        <v>1200</v>
      </c>
      <c r="H113" t="s">
        <v>51</v>
      </c>
      <c r="I113" t="s">
        <v>30</v>
      </c>
      <c r="J113" t="s">
        <v>58</v>
      </c>
      <c r="K113" t="s">
        <v>17</v>
      </c>
    </row>
    <row r="114" spans="1:11" x14ac:dyDescent="0.3">
      <c r="A114" t="s">
        <v>166</v>
      </c>
      <c r="B114" s="1">
        <v>45735</v>
      </c>
      <c r="C114" t="s">
        <v>49</v>
      </c>
      <c r="D114" t="s">
        <v>50</v>
      </c>
      <c r="E114">
        <v>15</v>
      </c>
      <c r="F114">
        <v>5</v>
      </c>
      <c r="G114">
        <v>75</v>
      </c>
      <c r="H114" t="s">
        <v>51</v>
      </c>
      <c r="I114" t="s">
        <v>22</v>
      </c>
      <c r="J114" t="s">
        <v>16</v>
      </c>
      <c r="K114" t="s">
        <v>23</v>
      </c>
    </row>
    <row r="115" spans="1:11" x14ac:dyDescent="0.3">
      <c r="A115" t="s">
        <v>167</v>
      </c>
      <c r="B115" s="1">
        <v>45711</v>
      </c>
      <c r="C115" t="s">
        <v>12</v>
      </c>
      <c r="D115" t="s">
        <v>13</v>
      </c>
      <c r="E115">
        <v>60</v>
      </c>
      <c r="F115">
        <v>1</v>
      </c>
      <c r="G115">
        <v>60</v>
      </c>
      <c r="H115" t="s">
        <v>14</v>
      </c>
      <c r="I115" t="s">
        <v>38</v>
      </c>
      <c r="J115" t="s">
        <v>31</v>
      </c>
      <c r="K115" t="s">
        <v>23</v>
      </c>
    </row>
    <row r="116" spans="1:11" x14ac:dyDescent="0.3">
      <c r="A116" t="s">
        <v>168</v>
      </c>
      <c r="B116" s="1">
        <v>45737</v>
      </c>
      <c r="C116" t="s">
        <v>12</v>
      </c>
      <c r="D116" t="s">
        <v>13</v>
      </c>
      <c r="E116">
        <v>60</v>
      </c>
      <c r="F116">
        <v>3</v>
      </c>
      <c r="G116">
        <v>180</v>
      </c>
      <c r="H116" t="s">
        <v>29</v>
      </c>
      <c r="I116" t="s">
        <v>44</v>
      </c>
      <c r="J116" t="s">
        <v>27</v>
      </c>
      <c r="K116" t="s">
        <v>40</v>
      </c>
    </row>
    <row r="117" spans="1:11" x14ac:dyDescent="0.3">
      <c r="A117" t="s">
        <v>169</v>
      </c>
      <c r="B117" s="1">
        <v>45735</v>
      </c>
      <c r="C117" t="s">
        <v>56</v>
      </c>
      <c r="D117" t="s">
        <v>20</v>
      </c>
      <c r="E117">
        <v>800</v>
      </c>
      <c r="F117">
        <v>4</v>
      </c>
      <c r="G117">
        <v>3200</v>
      </c>
      <c r="H117" t="s">
        <v>14</v>
      </c>
      <c r="I117" t="s">
        <v>68</v>
      </c>
      <c r="J117" t="s">
        <v>27</v>
      </c>
      <c r="K117" t="s">
        <v>40</v>
      </c>
    </row>
    <row r="118" spans="1:11" x14ac:dyDescent="0.3">
      <c r="A118" t="s">
        <v>170</v>
      </c>
      <c r="B118" s="1">
        <v>45715</v>
      </c>
      <c r="C118" t="s">
        <v>35</v>
      </c>
      <c r="D118" t="s">
        <v>36</v>
      </c>
      <c r="E118">
        <v>20</v>
      </c>
      <c r="F118">
        <v>1</v>
      </c>
      <c r="G118">
        <v>20</v>
      </c>
      <c r="H118" t="s">
        <v>57</v>
      </c>
      <c r="I118" t="s">
        <v>15</v>
      </c>
      <c r="J118" t="s">
        <v>31</v>
      </c>
      <c r="K118" t="s">
        <v>40</v>
      </c>
    </row>
    <row r="119" spans="1:11" x14ac:dyDescent="0.3">
      <c r="A119" t="s">
        <v>171</v>
      </c>
      <c r="B119" s="1">
        <v>45698</v>
      </c>
      <c r="C119" t="s">
        <v>19</v>
      </c>
      <c r="D119" t="s">
        <v>20</v>
      </c>
      <c r="E119">
        <v>100</v>
      </c>
      <c r="F119">
        <v>5</v>
      </c>
      <c r="G119">
        <v>500</v>
      </c>
      <c r="H119" t="s">
        <v>25</v>
      </c>
      <c r="I119" t="s">
        <v>38</v>
      </c>
      <c r="J119" t="s">
        <v>27</v>
      </c>
      <c r="K119" t="s">
        <v>40</v>
      </c>
    </row>
    <row r="120" spans="1:11" x14ac:dyDescent="0.3">
      <c r="A120" t="s">
        <v>172</v>
      </c>
      <c r="B120" s="1">
        <v>45732</v>
      </c>
      <c r="C120" t="s">
        <v>42</v>
      </c>
      <c r="D120" t="s">
        <v>20</v>
      </c>
      <c r="E120">
        <v>500</v>
      </c>
      <c r="F120">
        <v>2</v>
      </c>
      <c r="G120">
        <v>1000</v>
      </c>
      <c r="H120" t="s">
        <v>72</v>
      </c>
      <c r="I120" t="s">
        <v>81</v>
      </c>
      <c r="J120" t="s">
        <v>39</v>
      </c>
      <c r="K120" t="s">
        <v>23</v>
      </c>
    </row>
    <row r="121" spans="1:11" x14ac:dyDescent="0.3">
      <c r="A121" t="s">
        <v>173</v>
      </c>
      <c r="B121" s="1">
        <v>45704</v>
      </c>
      <c r="C121" t="s">
        <v>56</v>
      </c>
      <c r="D121" t="s">
        <v>20</v>
      </c>
      <c r="E121">
        <v>800</v>
      </c>
      <c r="F121">
        <v>5</v>
      </c>
      <c r="G121">
        <v>4000</v>
      </c>
      <c r="H121" t="s">
        <v>21</v>
      </c>
      <c r="I121" t="s">
        <v>26</v>
      </c>
      <c r="J121" t="s">
        <v>39</v>
      </c>
      <c r="K121" t="s">
        <v>40</v>
      </c>
    </row>
    <row r="122" spans="1:11" x14ac:dyDescent="0.3">
      <c r="A122" t="s">
        <v>174</v>
      </c>
      <c r="B122" s="1">
        <v>45706</v>
      </c>
      <c r="C122" t="s">
        <v>42</v>
      </c>
      <c r="D122" t="s">
        <v>20</v>
      </c>
      <c r="E122">
        <v>500</v>
      </c>
      <c r="F122">
        <v>1</v>
      </c>
      <c r="G122">
        <v>500</v>
      </c>
      <c r="H122" t="s">
        <v>25</v>
      </c>
      <c r="I122" t="s">
        <v>30</v>
      </c>
      <c r="J122" t="s">
        <v>58</v>
      </c>
      <c r="K122" t="s">
        <v>23</v>
      </c>
    </row>
    <row r="123" spans="1:11" x14ac:dyDescent="0.3">
      <c r="A123" t="s">
        <v>175</v>
      </c>
      <c r="B123" s="1">
        <v>45744</v>
      </c>
      <c r="C123" t="s">
        <v>56</v>
      </c>
      <c r="D123" t="s">
        <v>20</v>
      </c>
      <c r="E123">
        <v>800</v>
      </c>
      <c r="F123">
        <v>3</v>
      </c>
      <c r="G123">
        <v>2400</v>
      </c>
      <c r="H123" t="s">
        <v>25</v>
      </c>
      <c r="I123" t="s">
        <v>44</v>
      </c>
      <c r="J123" t="s">
        <v>31</v>
      </c>
      <c r="K123" t="s">
        <v>17</v>
      </c>
    </row>
    <row r="124" spans="1:11" x14ac:dyDescent="0.3">
      <c r="A124" t="s">
        <v>176</v>
      </c>
      <c r="B124" s="1">
        <v>45711</v>
      </c>
      <c r="C124" t="s">
        <v>49</v>
      </c>
      <c r="D124" t="s">
        <v>50</v>
      </c>
      <c r="E124">
        <v>15</v>
      </c>
      <c r="F124">
        <v>3</v>
      </c>
      <c r="G124">
        <v>45</v>
      </c>
      <c r="H124" t="s">
        <v>72</v>
      </c>
      <c r="I124" t="s">
        <v>46</v>
      </c>
      <c r="J124" t="s">
        <v>58</v>
      </c>
      <c r="K124" t="s">
        <v>17</v>
      </c>
    </row>
    <row r="125" spans="1:11" x14ac:dyDescent="0.3">
      <c r="A125" t="s">
        <v>177</v>
      </c>
      <c r="B125" s="1">
        <v>45698</v>
      </c>
      <c r="C125" t="s">
        <v>49</v>
      </c>
      <c r="D125" t="s">
        <v>50</v>
      </c>
      <c r="E125">
        <v>15</v>
      </c>
      <c r="F125">
        <v>1</v>
      </c>
      <c r="G125">
        <v>15</v>
      </c>
      <c r="H125" t="s">
        <v>14</v>
      </c>
      <c r="I125" t="s">
        <v>63</v>
      </c>
      <c r="J125" t="s">
        <v>58</v>
      </c>
      <c r="K125" t="s">
        <v>23</v>
      </c>
    </row>
    <row r="126" spans="1:11" x14ac:dyDescent="0.3">
      <c r="A126" t="s">
        <v>178</v>
      </c>
      <c r="B126" s="1">
        <v>45711</v>
      </c>
      <c r="C126" t="s">
        <v>42</v>
      </c>
      <c r="D126" t="s">
        <v>20</v>
      </c>
      <c r="E126">
        <v>500</v>
      </c>
      <c r="F126">
        <v>1</v>
      </c>
      <c r="G126">
        <v>500</v>
      </c>
      <c r="H126" t="s">
        <v>21</v>
      </c>
      <c r="I126" t="s">
        <v>26</v>
      </c>
      <c r="J126" t="s">
        <v>27</v>
      </c>
      <c r="K126" t="s">
        <v>40</v>
      </c>
    </row>
    <row r="127" spans="1:11" x14ac:dyDescent="0.3">
      <c r="A127" t="s">
        <v>179</v>
      </c>
      <c r="B127" s="1">
        <v>45692</v>
      </c>
      <c r="C127" t="s">
        <v>65</v>
      </c>
      <c r="D127" t="s">
        <v>61</v>
      </c>
      <c r="E127">
        <v>1200</v>
      </c>
      <c r="F127">
        <v>5</v>
      </c>
      <c r="G127">
        <v>6000</v>
      </c>
      <c r="H127" t="s">
        <v>29</v>
      </c>
      <c r="I127" t="s">
        <v>81</v>
      </c>
      <c r="J127" t="s">
        <v>58</v>
      </c>
      <c r="K127" t="s">
        <v>23</v>
      </c>
    </row>
    <row r="128" spans="1:11" x14ac:dyDescent="0.3">
      <c r="A128" t="s">
        <v>180</v>
      </c>
      <c r="B128" s="1">
        <v>45706</v>
      </c>
      <c r="C128" t="s">
        <v>35</v>
      </c>
      <c r="D128" t="s">
        <v>36</v>
      </c>
      <c r="E128">
        <v>20</v>
      </c>
      <c r="F128">
        <v>3</v>
      </c>
      <c r="G128">
        <v>60</v>
      </c>
      <c r="H128" t="s">
        <v>14</v>
      </c>
      <c r="I128" t="s">
        <v>30</v>
      </c>
      <c r="J128" t="s">
        <v>16</v>
      </c>
      <c r="K128" t="s">
        <v>40</v>
      </c>
    </row>
    <row r="129" spans="1:11" x14ac:dyDescent="0.3">
      <c r="A129" t="s">
        <v>181</v>
      </c>
      <c r="B129" s="1">
        <v>45739</v>
      </c>
      <c r="C129" t="s">
        <v>33</v>
      </c>
      <c r="D129" t="s">
        <v>20</v>
      </c>
      <c r="E129">
        <v>150</v>
      </c>
      <c r="F129">
        <v>2</v>
      </c>
      <c r="G129">
        <v>300</v>
      </c>
      <c r="H129" t="s">
        <v>21</v>
      </c>
      <c r="I129" t="s">
        <v>30</v>
      </c>
      <c r="J129" t="s">
        <v>39</v>
      </c>
      <c r="K129" t="s">
        <v>17</v>
      </c>
    </row>
    <row r="130" spans="1:11" x14ac:dyDescent="0.3">
      <c r="A130" t="s">
        <v>182</v>
      </c>
      <c r="B130" s="1">
        <v>45714</v>
      </c>
      <c r="C130" t="s">
        <v>53</v>
      </c>
      <c r="D130" t="s">
        <v>36</v>
      </c>
      <c r="E130">
        <v>40</v>
      </c>
      <c r="F130">
        <v>5</v>
      </c>
      <c r="G130">
        <v>200</v>
      </c>
      <c r="H130" t="s">
        <v>21</v>
      </c>
      <c r="I130" t="s">
        <v>15</v>
      </c>
      <c r="J130" t="s">
        <v>16</v>
      </c>
      <c r="K130" t="s">
        <v>23</v>
      </c>
    </row>
    <row r="131" spans="1:11" x14ac:dyDescent="0.3">
      <c r="A131" t="s">
        <v>183</v>
      </c>
      <c r="B131" s="1">
        <v>45698</v>
      </c>
      <c r="C131" t="s">
        <v>33</v>
      </c>
      <c r="D131" t="s">
        <v>20</v>
      </c>
      <c r="E131">
        <v>150</v>
      </c>
      <c r="F131">
        <v>5</v>
      </c>
      <c r="G131">
        <v>750</v>
      </c>
      <c r="H131" t="s">
        <v>51</v>
      </c>
      <c r="I131" t="s">
        <v>46</v>
      </c>
      <c r="J131" t="s">
        <v>39</v>
      </c>
      <c r="K131" t="s">
        <v>40</v>
      </c>
    </row>
    <row r="132" spans="1:11" x14ac:dyDescent="0.3">
      <c r="A132" t="s">
        <v>184</v>
      </c>
      <c r="B132" s="1">
        <v>45714</v>
      </c>
      <c r="C132" t="s">
        <v>53</v>
      </c>
      <c r="D132" t="s">
        <v>36</v>
      </c>
      <c r="E132">
        <v>40</v>
      </c>
      <c r="F132">
        <v>2</v>
      </c>
      <c r="G132">
        <v>80</v>
      </c>
      <c r="H132" t="s">
        <v>57</v>
      </c>
      <c r="I132" t="s">
        <v>81</v>
      </c>
      <c r="J132" t="s">
        <v>31</v>
      </c>
      <c r="K132" t="s">
        <v>23</v>
      </c>
    </row>
    <row r="133" spans="1:11" x14ac:dyDescent="0.3">
      <c r="A133" t="s">
        <v>185</v>
      </c>
      <c r="B133" s="1">
        <v>45723</v>
      </c>
      <c r="C133" t="s">
        <v>42</v>
      </c>
      <c r="D133" t="s">
        <v>20</v>
      </c>
      <c r="E133">
        <v>500</v>
      </c>
      <c r="F133">
        <v>2</v>
      </c>
      <c r="G133">
        <v>1000</v>
      </c>
      <c r="H133" t="s">
        <v>29</v>
      </c>
      <c r="I133" t="s">
        <v>81</v>
      </c>
      <c r="J133" t="s">
        <v>16</v>
      </c>
      <c r="K133" t="s">
        <v>23</v>
      </c>
    </row>
    <row r="134" spans="1:11" x14ac:dyDescent="0.3">
      <c r="A134" t="s">
        <v>186</v>
      </c>
      <c r="B134" s="1">
        <v>45711</v>
      </c>
      <c r="C134" t="s">
        <v>56</v>
      </c>
      <c r="D134" t="s">
        <v>20</v>
      </c>
      <c r="E134">
        <v>800</v>
      </c>
      <c r="F134">
        <v>1</v>
      </c>
      <c r="G134">
        <v>800</v>
      </c>
      <c r="H134" t="s">
        <v>21</v>
      </c>
      <c r="I134" t="s">
        <v>15</v>
      </c>
      <c r="J134" t="s">
        <v>27</v>
      </c>
      <c r="K134" t="s">
        <v>23</v>
      </c>
    </row>
    <row r="135" spans="1:11" x14ac:dyDescent="0.3">
      <c r="A135" t="s">
        <v>187</v>
      </c>
      <c r="B135" s="1">
        <v>45695</v>
      </c>
      <c r="C135" t="s">
        <v>42</v>
      </c>
      <c r="D135" t="s">
        <v>20</v>
      </c>
      <c r="E135">
        <v>500</v>
      </c>
      <c r="F135">
        <v>5</v>
      </c>
      <c r="G135">
        <v>2500</v>
      </c>
      <c r="H135" t="s">
        <v>51</v>
      </c>
      <c r="I135" t="s">
        <v>81</v>
      </c>
      <c r="J135" t="s">
        <v>58</v>
      </c>
      <c r="K135" t="s">
        <v>23</v>
      </c>
    </row>
    <row r="136" spans="1:11" x14ac:dyDescent="0.3">
      <c r="A136" t="s">
        <v>188</v>
      </c>
      <c r="B136" s="1">
        <v>45698</v>
      </c>
      <c r="C136" t="s">
        <v>35</v>
      </c>
      <c r="D136" t="s">
        <v>36</v>
      </c>
      <c r="E136">
        <v>20</v>
      </c>
      <c r="F136">
        <v>1</v>
      </c>
      <c r="G136">
        <v>20</v>
      </c>
      <c r="H136" t="s">
        <v>29</v>
      </c>
      <c r="I136" t="s">
        <v>44</v>
      </c>
      <c r="J136" t="s">
        <v>31</v>
      </c>
      <c r="K136" t="s">
        <v>23</v>
      </c>
    </row>
    <row r="137" spans="1:11" x14ac:dyDescent="0.3">
      <c r="A137" t="s">
        <v>189</v>
      </c>
      <c r="B137" s="1">
        <v>45699</v>
      </c>
      <c r="C137" t="s">
        <v>65</v>
      </c>
      <c r="D137" t="s">
        <v>61</v>
      </c>
      <c r="E137">
        <v>1200</v>
      </c>
      <c r="F137">
        <v>2</v>
      </c>
      <c r="G137">
        <v>2400</v>
      </c>
      <c r="H137" t="s">
        <v>57</v>
      </c>
      <c r="I137" t="s">
        <v>22</v>
      </c>
      <c r="J137" t="s">
        <v>39</v>
      </c>
      <c r="K137" t="s">
        <v>17</v>
      </c>
    </row>
    <row r="138" spans="1:11" x14ac:dyDescent="0.3">
      <c r="A138" t="s">
        <v>190</v>
      </c>
      <c r="B138" s="1">
        <v>45736</v>
      </c>
      <c r="C138" t="s">
        <v>33</v>
      </c>
      <c r="D138" t="s">
        <v>20</v>
      </c>
      <c r="E138">
        <v>150</v>
      </c>
      <c r="F138">
        <v>3</v>
      </c>
      <c r="G138">
        <v>450</v>
      </c>
      <c r="H138" t="s">
        <v>43</v>
      </c>
      <c r="I138" t="s">
        <v>22</v>
      </c>
      <c r="J138" t="s">
        <v>16</v>
      </c>
      <c r="K138" t="s">
        <v>40</v>
      </c>
    </row>
    <row r="139" spans="1:11" x14ac:dyDescent="0.3">
      <c r="A139" t="s">
        <v>191</v>
      </c>
      <c r="B139" s="1">
        <v>45699</v>
      </c>
      <c r="C139" t="s">
        <v>33</v>
      </c>
      <c r="D139" t="s">
        <v>20</v>
      </c>
      <c r="E139">
        <v>150</v>
      </c>
      <c r="F139">
        <v>5</v>
      </c>
      <c r="G139">
        <v>750</v>
      </c>
      <c r="H139" t="s">
        <v>25</v>
      </c>
      <c r="I139" t="s">
        <v>68</v>
      </c>
      <c r="J139" t="s">
        <v>31</v>
      </c>
      <c r="K139" t="s">
        <v>17</v>
      </c>
    </row>
    <row r="140" spans="1:11" x14ac:dyDescent="0.3">
      <c r="A140" t="s">
        <v>192</v>
      </c>
      <c r="B140" s="1">
        <v>45734</v>
      </c>
      <c r="C140" t="s">
        <v>56</v>
      </c>
      <c r="D140" t="s">
        <v>20</v>
      </c>
      <c r="E140">
        <v>800</v>
      </c>
      <c r="F140">
        <v>2</v>
      </c>
      <c r="G140">
        <v>1600</v>
      </c>
      <c r="H140" t="s">
        <v>54</v>
      </c>
      <c r="I140" t="s">
        <v>26</v>
      </c>
      <c r="J140" t="s">
        <v>39</v>
      </c>
      <c r="K140" t="s">
        <v>17</v>
      </c>
    </row>
    <row r="141" spans="1:11" x14ac:dyDescent="0.3">
      <c r="A141" t="s">
        <v>193</v>
      </c>
      <c r="B141" s="1">
        <v>45735</v>
      </c>
      <c r="C141" t="s">
        <v>33</v>
      </c>
      <c r="D141" t="s">
        <v>20</v>
      </c>
      <c r="E141">
        <v>150</v>
      </c>
      <c r="F141">
        <v>2</v>
      </c>
      <c r="G141">
        <v>300</v>
      </c>
      <c r="H141" t="s">
        <v>29</v>
      </c>
      <c r="I141" t="s">
        <v>44</v>
      </c>
      <c r="J141" t="s">
        <v>16</v>
      </c>
      <c r="K141" t="s">
        <v>40</v>
      </c>
    </row>
    <row r="142" spans="1:11" x14ac:dyDescent="0.3">
      <c r="A142" t="s">
        <v>194</v>
      </c>
      <c r="B142" s="1">
        <v>45737</v>
      </c>
      <c r="C142" t="s">
        <v>42</v>
      </c>
      <c r="D142" t="s">
        <v>20</v>
      </c>
      <c r="E142">
        <v>500</v>
      </c>
      <c r="F142">
        <v>2</v>
      </c>
      <c r="G142">
        <v>1000</v>
      </c>
      <c r="H142" t="s">
        <v>25</v>
      </c>
      <c r="I142" t="s">
        <v>44</v>
      </c>
      <c r="J142" t="s">
        <v>39</v>
      </c>
      <c r="K142" t="s">
        <v>40</v>
      </c>
    </row>
    <row r="143" spans="1:11" x14ac:dyDescent="0.3">
      <c r="A143" t="s">
        <v>195</v>
      </c>
      <c r="B143" s="1">
        <v>45731</v>
      </c>
      <c r="C143" t="s">
        <v>42</v>
      </c>
      <c r="D143" t="s">
        <v>20</v>
      </c>
      <c r="E143">
        <v>500</v>
      </c>
      <c r="F143">
        <v>3</v>
      </c>
      <c r="G143">
        <v>1500</v>
      </c>
      <c r="H143" t="s">
        <v>43</v>
      </c>
      <c r="I143" t="s">
        <v>44</v>
      </c>
      <c r="J143" t="s">
        <v>58</v>
      </c>
      <c r="K143" t="s">
        <v>40</v>
      </c>
    </row>
    <row r="144" spans="1:11" x14ac:dyDescent="0.3">
      <c r="A144" t="s">
        <v>196</v>
      </c>
      <c r="B144" s="1">
        <v>45747</v>
      </c>
      <c r="C144" t="s">
        <v>65</v>
      </c>
      <c r="D144" t="s">
        <v>61</v>
      </c>
      <c r="E144">
        <v>1200</v>
      </c>
      <c r="F144">
        <v>2</v>
      </c>
      <c r="G144">
        <v>2400</v>
      </c>
      <c r="H144" t="s">
        <v>80</v>
      </c>
      <c r="I144" t="s">
        <v>30</v>
      </c>
      <c r="J144" t="s">
        <v>39</v>
      </c>
      <c r="K144" t="s">
        <v>17</v>
      </c>
    </row>
    <row r="145" spans="1:11" x14ac:dyDescent="0.3">
      <c r="A145" t="s">
        <v>197</v>
      </c>
      <c r="B145" s="1">
        <v>45715</v>
      </c>
      <c r="C145" t="s">
        <v>53</v>
      </c>
      <c r="D145" t="s">
        <v>36</v>
      </c>
      <c r="E145">
        <v>40</v>
      </c>
      <c r="F145">
        <v>2</v>
      </c>
      <c r="G145">
        <v>80</v>
      </c>
      <c r="H145" t="s">
        <v>54</v>
      </c>
      <c r="I145" t="s">
        <v>68</v>
      </c>
      <c r="J145" t="s">
        <v>58</v>
      </c>
      <c r="K145" t="s">
        <v>17</v>
      </c>
    </row>
    <row r="146" spans="1:11" x14ac:dyDescent="0.3">
      <c r="A146" t="s">
        <v>198</v>
      </c>
      <c r="B146" s="1">
        <v>45724</v>
      </c>
      <c r="C146" t="s">
        <v>33</v>
      </c>
      <c r="D146" t="s">
        <v>20</v>
      </c>
      <c r="E146">
        <v>150</v>
      </c>
      <c r="F146">
        <v>2</v>
      </c>
      <c r="G146">
        <v>300</v>
      </c>
      <c r="H146" t="s">
        <v>54</v>
      </c>
      <c r="I146" t="s">
        <v>63</v>
      </c>
      <c r="J146" t="s">
        <v>16</v>
      </c>
      <c r="K146" t="s">
        <v>17</v>
      </c>
    </row>
    <row r="147" spans="1:11" x14ac:dyDescent="0.3">
      <c r="A147" t="s">
        <v>199</v>
      </c>
      <c r="B147" s="1">
        <v>45741</v>
      </c>
      <c r="C147" t="s">
        <v>33</v>
      </c>
      <c r="D147" t="s">
        <v>20</v>
      </c>
      <c r="E147">
        <v>150</v>
      </c>
      <c r="F147">
        <v>2</v>
      </c>
      <c r="G147">
        <v>300</v>
      </c>
      <c r="H147" t="s">
        <v>14</v>
      </c>
      <c r="I147" t="s">
        <v>46</v>
      </c>
      <c r="J147" t="s">
        <v>16</v>
      </c>
      <c r="K147" t="s">
        <v>40</v>
      </c>
    </row>
    <row r="148" spans="1:11" x14ac:dyDescent="0.3">
      <c r="A148" t="s">
        <v>200</v>
      </c>
      <c r="B148" s="1">
        <v>45693</v>
      </c>
      <c r="C148" t="s">
        <v>12</v>
      </c>
      <c r="D148" t="s">
        <v>13</v>
      </c>
      <c r="E148">
        <v>60</v>
      </c>
      <c r="F148">
        <v>5</v>
      </c>
      <c r="G148">
        <v>300</v>
      </c>
      <c r="H148" t="s">
        <v>80</v>
      </c>
      <c r="I148" t="s">
        <v>30</v>
      </c>
      <c r="J148" t="s">
        <v>39</v>
      </c>
      <c r="K148" t="s">
        <v>23</v>
      </c>
    </row>
    <row r="149" spans="1:11" x14ac:dyDescent="0.3">
      <c r="A149" t="s">
        <v>201</v>
      </c>
      <c r="B149" s="1">
        <v>45694</v>
      </c>
      <c r="C149" t="s">
        <v>19</v>
      </c>
      <c r="D149" t="s">
        <v>20</v>
      </c>
      <c r="E149">
        <v>100</v>
      </c>
      <c r="F149">
        <v>4</v>
      </c>
      <c r="G149">
        <v>400</v>
      </c>
      <c r="H149" t="s">
        <v>21</v>
      </c>
      <c r="I149" t="s">
        <v>68</v>
      </c>
      <c r="J149" t="s">
        <v>27</v>
      </c>
      <c r="K149" t="s">
        <v>17</v>
      </c>
    </row>
    <row r="150" spans="1:11" x14ac:dyDescent="0.3">
      <c r="A150" t="s">
        <v>202</v>
      </c>
      <c r="B150" s="1">
        <v>45736</v>
      </c>
      <c r="C150" t="s">
        <v>12</v>
      </c>
      <c r="D150" t="s">
        <v>13</v>
      </c>
      <c r="E150">
        <v>60</v>
      </c>
      <c r="F150">
        <v>3</v>
      </c>
      <c r="G150">
        <v>180</v>
      </c>
      <c r="H150" t="s">
        <v>54</v>
      </c>
      <c r="I150" t="s">
        <v>15</v>
      </c>
      <c r="J150" t="s">
        <v>58</v>
      </c>
      <c r="K150" t="s">
        <v>23</v>
      </c>
    </row>
    <row r="151" spans="1:11" x14ac:dyDescent="0.3">
      <c r="A151" t="s">
        <v>203</v>
      </c>
      <c r="B151" s="1">
        <v>45696</v>
      </c>
      <c r="C151" t="s">
        <v>49</v>
      </c>
      <c r="D151" t="s">
        <v>50</v>
      </c>
      <c r="E151">
        <v>15</v>
      </c>
      <c r="F151">
        <v>4</v>
      </c>
      <c r="G151">
        <v>60</v>
      </c>
      <c r="H151" t="s">
        <v>57</v>
      </c>
      <c r="I151" t="s">
        <v>81</v>
      </c>
      <c r="J151" t="s">
        <v>58</v>
      </c>
      <c r="K151" t="s">
        <v>17</v>
      </c>
    </row>
    <row r="152" spans="1:11" x14ac:dyDescent="0.3">
      <c r="A152" t="s">
        <v>204</v>
      </c>
      <c r="B152" s="1">
        <v>45745</v>
      </c>
      <c r="C152" t="s">
        <v>60</v>
      </c>
      <c r="D152" t="s">
        <v>61</v>
      </c>
      <c r="E152">
        <v>600</v>
      </c>
      <c r="F152">
        <v>4</v>
      </c>
      <c r="G152">
        <v>2400</v>
      </c>
      <c r="H152" t="s">
        <v>80</v>
      </c>
      <c r="I152" t="s">
        <v>68</v>
      </c>
      <c r="J152" t="s">
        <v>27</v>
      </c>
      <c r="K152" t="s">
        <v>23</v>
      </c>
    </row>
    <row r="153" spans="1:11" x14ac:dyDescent="0.3">
      <c r="A153" t="s">
        <v>205</v>
      </c>
      <c r="B153" s="1">
        <v>45716</v>
      </c>
      <c r="C153" t="s">
        <v>33</v>
      </c>
      <c r="D153" t="s">
        <v>20</v>
      </c>
      <c r="E153">
        <v>150</v>
      </c>
      <c r="F153">
        <v>1</v>
      </c>
      <c r="G153">
        <v>150</v>
      </c>
      <c r="H153" t="s">
        <v>25</v>
      </c>
      <c r="I153" t="s">
        <v>63</v>
      </c>
      <c r="J153" t="s">
        <v>58</v>
      </c>
      <c r="K153" t="s">
        <v>40</v>
      </c>
    </row>
    <row r="154" spans="1:11" x14ac:dyDescent="0.3">
      <c r="A154" t="s">
        <v>206</v>
      </c>
      <c r="B154" s="1">
        <v>45711</v>
      </c>
      <c r="C154" t="s">
        <v>33</v>
      </c>
      <c r="D154" t="s">
        <v>20</v>
      </c>
      <c r="E154">
        <v>150</v>
      </c>
      <c r="F154">
        <v>5</v>
      </c>
      <c r="G154">
        <v>750</v>
      </c>
      <c r="H154" t="s">
        <v>43</v>
      </c>
      <c r="I154" t="s">
        <v>22</v>
      </c>
      <c r="J154" t="s">
        <v>39</v>
      </c>
      <c r="K154" t="s">
        <v>23</v>
      </c>
    </row>
    <row r="155" spans="1:11" x14ac:dyDescent="0.3">
      <c r="A155" t="s">
        <v>207</v>
      </c>
      <c r="B155" s="1">
        <v>45717</v>
      </c>
      <c r="C155" t="s">
        <v>19</v>
      </c>
      <c r="D155" t="s">
        <v>20</v>
      </c>
      <c r="E155">
        <v>100</v>
      </c>
      <c r="F155">
        <v>2</v>
      </c>
      <c r="G155">
        <v>200</v>
      </c>
      <c r="H155" t="s">
        <v>25</v>
      </c>
      <c r="I155" t="s">
        <v>26</v>
      </c>
      <c r="J155" t="s">
        <v>16</v>
      </c>
      <c r="K155" t="s">
        <v>40</v>
      </c>
    </row>
    <row r="156" spans="1:11" x14ac:dyDescent="0.3">
      <c r="A156" t="s">
        <v>208</v>
      </c>
      <c r="B156" s="1">
        <v>45693</v>
      </c>
      <c r="C156" t="s">
        <v>65</v>
      </c>
      <c r="D156" t="s">
        <v>61</v>
      </c>
      <c r="E156">
        <v>1200</v>
      </c>
      <c r="F156">
        <v>4</v>
      </c>
      <c r="G156">
        <v>4800</v>
      </c>
      <c r="H156" t="s">
        <v>43</v>
      </c>
      <c r="I156" t="s">
        <v>63</v>
      </c>
      <c r="J156" t="s">
        <v>31</v>
      </c>
      <c r="K156" t="s">
        <v>23</v>
      </c>
    </row>
    <row r="157" spans="1:11" x14ac:dyDescent="0.3">
      <c r="A157" t="s">
        <v>209</v>
      </c>
      <c r="B157" s="1">
        <v>45732</v>
      </c>
      <c r="C157" t="s">
        <v>33</v>
      </c>
      <c r="D157" t="s">
        <v>20</v>
      </c>
      <c r="E157">
        <v>150</v>
      </c>
      <c r="F157">
        <v>4</v>
      </c>
      <c r="G157">
        <v>600</v>
      </c>
      <c r="H157" t="s">
        <v>29</v>
      </c>
      <c r="I157" t="s">
        <v>44</v>
      </c>
      <c r="J157" t="s">
        <v>39</v>
      </c>
      <c r="K157" t="s">
        <v>17</v>
      </c>
    </row>
    <row r="158" spans="1:11" x14ac:dyDescent="0.3">
      <c r="A158" t="s">
        <v>210</v>
      </c>
      <c r="B158" s="1">
        <v>45696</v>
      </c>
      <c r="C158" t="s">
        <v>42</v>
      </c>
      <c r="D158" t="s">
        <v>20</v>
      </c>
      <c r="E158">
        <v>500</v>
      </c>
      <c r="F158">
        <v>3</v>
      </c>
      <c r="G158">
        <v>1500</v>
      </c>
      <c r="H158" t="s">
        <v>43</v>
      </c>
      <c r="I158" t="s">
        <v>26</v>
      </c>
      <c r="J158" t="s">
        <v>31</v>
      </c>
      <c r="K158" t="s">
        <v>23</v>
      </c>
    </row>
    <row r="159" spans="1:11" x14ac:dyDescent="0.3">
      <c r="A159" t="s">
        <v>211</v>
      </c>
      <c r="B159" s="1">
        <v>45712</v>
      </c>
      <c r="C159" t="s">
        <v>56</v>
      </c>
      <c r="D159" t="s">
        <v>20</v>
      </c>
      <c r="E159">
        <v>800</v>
      </c>
      <c r="F159">
        <v>3</v>
      </c>
      <c r="G159">
        <v>2400</v>
      </c>
      <c r="H159" t="s">
        <v>72</v>
      </c>
      <c r="I159" t="s">
        <v>44</v>
      </c>
      <c r="J159" t="s">
        <v>16</v>
      </c>
      <c r="K159" t="s">
        <v>23</v>
      </c>
    </row>
    <row r="160" spans="1:11" x14ac:dyDescent="0.3">
      <c r="A160" t="s">
        <v>212</v>
      </c>
      <c r="B160" s="1">
        <v>45704</v>
      </c>
      <c r="C160" t="s">
        <v>35</v>
      </c>
      <c r="D160" t="s">
        <v>36</v>
      </c>
      <c r="E160">
        <v>20</v>
      </c>
      <c r="F160">
        <v>2</v>
      </c>
      <c r="G160">
        <v>40</v>
      </c>
      <c r="H160" t="s">
        <v>51</v>
      </c>
      <c r="I160" t="s">
        <v>30</v>
      </c>
      <c r="J160" t="s">
        <v>58</v>
      </c>
      <c r="K160" t="s">
        <v>17</v>
      </c>
    </row>
    <row r="161" spans="1:11" x14ac:dyDescent="0.3">
      <c r="A161" t="s">
        <v>213</v>
      </c>
      <c r="B161" s="1">
        <v>45694</v>
      </c>
      <c r="C161" t="s">
        <v>60</v>
      </c>
      <c r="D161" t="s">
        <v>61</v>
      </c>
      <c r="E161">
        <v>600</v>
      </c>
      <c r="F161">
        <v>3</v>
      </c>
      <c r="G161">
        <v>1800</v>
      </c>
      <c r="H161" t="s">
        <v>29</v>
      </c>
      <c r="I161" t="s">
        <v>26</v>
      </c>
      <c r="J161" t="s">
        <v>58</v>
      </c>
      <c r="K161" t="s">
        <v>17</v>
      </c>
    </row>
    <row r="162" spans="1:11" x14ac:dyDescent="0.3">
      <c r="A162" t="s">
        <v>214</v>
      </c>
      <c r="B162" s="1">
        <v>45710</v>
      </c>
      <c r="C162" t="s">
        <v>19</v>
      </c>
      <c r="D162" t="s">
        <v>20</v>
      </c>
      <c r="E162">
        <v>100</v>
      </c>
      <c r="F162">
        <v>1</v>
      </c>
      <c r="G162">
        <v>100</v>
      </c>
      <c r="H162" t="s">
        <v>21</v>
      </c>
      <c r="I162" t="s">
        <v>68</v>
      </c>
      <c r="J162" t="s">
        <v>31</v>
      </c>
      <c r="K162" t="s">
        <v>40</v>
      </c>
    </row>
    <row r="163" spans="1:11" x14ac:dyDescent="0.3">
      <c r="A163" t="s">
        <v>215</v>
      </c>
      <c r="B163" s="1">
        <v>45697</v>
      </c>
      <c r="C163" t="s">
        <v>42</v>
      </c>
      <c r="D163" t="s">
        <v>20</v>
      </c>
      <c r="E163">
        <v>500</v>
      </c>
      <c r="F163">
        <v>2</v>
      </c>
      <c r="G163">
        <v>1000</v>
      </c>
      <c r="H163" t="s">
        <v>29</v>
      </c>
      <c r="I163" t="s">
        <v>81</v>
      </c>
      <c r="J163" t="s">
        <v>31</v>
      </c>
      <c r="K163" t="s">
        <v>40</v>
      </c>
    </row>
    <row r="164" spans="1:11" x14ac:dyDescent="0.3">
      <c r="A164" t="s">
        <v>216</v>
      </c>
      <c r="B164" s="1">
        <v>45708</v>
      </c>
      <c r="C164" t="s">
        <v>12</v>
      </c>
      <c r="D164" t="s">
        <v>13</v>
      </c>
      <c r="E164">
        <v>60</v>
      </c>
      <c r="F164">
        <v>2</v>
      </c>
      <c r="G164">
        <v>120</v>
      </c>
      <c r="H164" t="s">
        <v>72</v>
      </c>
      <c r="I164" t="s">
        <v>38</v>
      </c>
      <c r="J164" t="s">
        <v>39</v>
      </c>
      <c r="K164" t="s">
        <v>40</v>
      </c>
    </row>
    <row r="165" spans="1:11" x14ac:dyDescent="0.3">
      <c r="A165" t="s">
        <v>217</v>
      </c>
      <c r="B165" s="1">
        <v>45713</v>
      </c>
      <c r="C165" t="s">
        <v>33</v>
      </c>
      <c r="D165" t="s">
        <v>20</v>
      </c>
      <c r="E165">
        <v>150</v>
      </c>
      <c r="F165">
        <v>5</v>
      </c>
      <c r="G165">
        <v>750</v>
      </c>
      <c r="H165" t="s">
        <v>54</v>
      </c>
      <c r="I165" t="s">
        <v>46</v>
      </c>
      <c r="J165" t="s">
        <v>16</v>
      </c>
      <c r="K165" t="s">
        <v>23</v>
      </c>
    </row>
    <row r="166" spans="1:11" x14ac:dyDescent="0.3">
      <c r="A166" t="s">
        <v>218</v>
      </c>
      <c r="B166" s="1">
        <v>45730</v>
      </c>
      <c r="C166" t="s">
        <v>49</v>
      </c>
      <c r="D166" t="s">
        <v>50</v>
      </c>
      <c r="E166">
        <v>15</v>
      </c>
      <c r="F166">
        <v>1</v>
      </c>
      <c r="G166">
        <v>15</v>
      </c>
      <c r="H166" t="s">
        <v>51</v>
      </c>
      <c r="I166" t="s">
        <v>15</v>
      </c>
      <c r="J166" t="s">
        <v>27</v>
      </c>
      <c r="K166" t="s">
        <v>23</v>
      </c>
    </row>
    <row r="167" spans="1:11" x14ac:dyDescent="0.3">
      <c r="A167" t="s">
        <v>219</v>
      </c>
      <c r="B167" s="1">
        <v>45746</v>
      </c>
      <c r="C167" t="s">
        <v>60</v>
      </c>
      <c r="D167" t="s">
        <v>61</v>
      </c>
      <c r="E167">
        <v>600</v>
      </c>
      <c r="F167">
        <v>4</v>
      </c>
      <c r="G167">
        <v>2400</v>
      </c>
      <c r="H167" t="s">
        <v>72</v>
      </c>
      <c r="I167" t="s">
        <v>38</v>
      </c>
      <c r="J167" t="s">
        <v>31</v>
      </c>
      <c r="K167" t="s">
        <v>23</v>
      </c>
    </row>
    <row r="168" spans="1:11" x14ac:dyDescent="0.3">
      <c r="A168" t="s">
        <v>220</v>
      </c>
      <c r="B168" s="1">
        <v>45736</v>
      </c>
      <c r="C168" t="s">
        <v>65</v>
      </c>
      <c r="D168" t="s">
        <v>61</v>
      </c>
      <c r="E168">
        <v>1200</v>
      </c>
      <c r="F168">
        <v>2</v>
      </c>
      <c r="G168">
        <v>2400</v>
      </c>
      <c r="H168" t="s">
        <v>29</v>
      </c>
      <c r="I168" t="s">
        <v>63</v>
      </c>
      <c r="J168" t="s">
        <v>31</v>
      </c>
      <c r="K168" t="s">
        <v>40</v>
      </c>
    </row>
    <row r="169" spans="1:11" x14ac:dyDescent="0.3">
      <c r="A169" t="s">
        <v>221</v>
      </c>
      <c r="B169" s="1">
        <v>45740</v>
      </c>
      <c r="C169" t="s">
        <v>56</v>
      </c>
      <c r="D169" t="s">
        <v>20</v>
      </c>
      <c r="E169">
        <v>800</v>
      </c>
      <c r="F169">
        <v>5</v>
      </c>
      <c r="G169">
        <v>4000</v>
      </c>
      <c r="H169" t="s">
        <v>54</v>
      </c>
      <c r="I169" t="s">
        <v>44</v>
      </c>
      <c r="J169" t="s">
        <v>16</v>
      </c>
      <c r="K169" t="s">
        <v>23</v>
      </c>
    </row>
    <row r="170" spans="1:11" x14ac:dyDescent="0.3">
      <c r="A170" t="s">
        <v>222</v>
      </c>
      <c r="B170" s="1">
        <v>45722</v>
      </c>
      <c r="C170" t="s">
        <v>65</v>
      </c>
      <c r="D170" t="s">
        <v>61</v>
      </c>
      <c r="E170">
        <v>1200</v>
      </c>
      <c r="F170">
        <v>2</v>
      </c>
      <c r="G170">
        <v>2400</v>
      </c>
      <c r="H170" t="s">
        <v>25</v>
      </c>
      <c r="I170" t="s">
        <v>26</v>
      </c>
      <c r="J170" t="s">
        <v>39</v>
      </c>
      <c r="K170" t="s">
        <v>40</v>
      </c>
    </row>
    <row r="171" spans="1:11" x14ac:dyDescent="0.3">
      <c r="A171" t="s">
        <v>223</v>
      </c>
      <c r="B171" s="1">
        <v>45716</v>
      </c>
      <c r="C171" t="s">
        <v>56</v>
      </c>
      <c r="D171" t="s">
        <v>20</v>
      </c>
      <c r="E171">
        <v>800</v>
      </c>
      <c r="F171">
        <v>1</v>
      </c>
      <c r="G171">
        <v>800</v>
      </c>
      <c r="H171" t="s">
        <v>14</v>
      </c>
      <c r="I171" t="s">
        <v>22</v>
      </c>
      <c r="J171" t="s">
        <v>58</v>
      </c>
      <c r="K171" t="s">
        <v>23</v>
      </c>
    </row>
    <row r="172" spans="1:11" x14ac:dyDescent="0.3">
      <c r="A172" t="s">
        <v>224</v>
      </c>
      <c r="B172" s="1">
        <v>45716</v>
      </c>
      <c r="C172" t="s">
        <v>33</v>
      </c>
      <c r="D172" t="s">
        <v>20</v>
      </c>
      <c r="E172">
        <v>150</v>
      </c>
      <c r="F172">
        <v>2</v>
      </c>
      <c r="G172">
        <v>300</v>
      </c>
      <c r="H172" t="s">
        <v>57</v>
      </c>
      <c r="I172" t="s">
        <v>38</v>
      </c>
      <c r="J172" t="s">
        <v>39</v>
      </c>
      <c r="K172" t="s">
        <v>40</v>
      </c>
    </row>
    <row r="173" spans="1:11" x14ac:dyDescent="0.3">
      <c r="A173" t="s">
        <v>225</v>
      </c>
      <c r="B173" s="1">
        <v>45728</v>
      </c>
      <c r="C173" t="s">
        <v>49</v>
      </c>
      <c r="D173" t="s">
        <v>50</v>
      </c>
      <c r="E173">
        <v>15</v>
      </c>
      <c r="F173">
        <v>1</v>
      </c>
      <c r="G173">
        <v>15</v>
      </c>
      <c r="H173" t="s">
        <v>51</v>
      </c>
      <c r="I173" t="s">
        <v>44</v>
      </c>
      <c r="J173" t="s">
        <v>16</v>
      </c>
      <c r="K173" t="s">
        <v>17</v>
      </c>
    </row>
    <row r="174" spans="1:11" x14ac:dyDescent="0.3">
      <c r="A174" t="s">
        <v>226</v>
      </c>
      <c r="B174" s="1">
        <v>45716</v>
      </c>
      <c r="C174" t="s">
        <v>65</v>
      </c>
      <c r="D174" t="s">
        <v>61</v>
      </c>
      <c r="E174">
        <v>1200</v>
      </c>
      <c r="F174">
        <v>1</v>
      </c>
      <c r="G174">
        <v>1200</v>
      </c>
      <c r="H174" t="s">
        <v>29</v>
      </c>
      <c r="I174" t="s">
        <v>63</v>
      </c>
      <c r="J174" t="s">
        <v>39</v>
      </c>
      <c r="K174" t="s">
        <v>40</v>
      </c>
    </row>
    <row r="175" spans="1:11" x14ac:dyDescent="0.3">
      <c r="A175" t="s">
        <v>227</v>
      </c>
      <c r="B175" s="1">
        <v>45729</v>
      </c>
      <c r="C175" t="s">
        <v>33</v>
      </c>
      <c r="D175" t="s">
        <v>20</v>
      </c>
      <c r="E175">
        <v>150</v>
      </c>
      <c r="F175">
        <v>2</v>
      </c>
      <c r="G175">
        <v>300</v>
      </c>
      <c r="H175" t="s">
        <v>51</v>
      </c>
      <c r="I175" t="s">
        <v>81</v>
      </c>
      <c r="J175" t="s">
        <v>16</v>
      </c>
      <c r="K175" t="s">
        <v>23</v>
      </c>
    </row>
    <row r="176" spans="1:11" x14ac:dyDescent="0.3">
      <c r="A176" t="s">
        <v>228</v>
      </c>
      <c r="B176" s="1">
        <v>45740</v>
      </c>
      <c r="C176" t="s">
        <v>53</v>
      </c>
      <c r="D176" t="s">
        <v>36</v>
      </c>
      <c r="E176">
        <v>40</v>
      </c>
      <c r="F176">
        <v>5</v>
      </c>
      <c r="G176">
        <v>200</v>
      </c>
      <c r="H176" t="s">
        <v>51</v>
      </c>
      <c r="I176" t="s">
        <v>15</v>
      </c>
      <c r="J176" t="s">
        <v>16</v>
      </c>
      <c r="K176" t="s">
        <v>17</v>
      </c>
    </row>
    <row r="177" spans="1:11" x14ac:dyDescent="0.3">
      <c r="A177" t="s">
        <v>229</v>
      </c>
      <c r="B177" s="1">
        <v>45743</v>
      </c>
      <c r="C177" t="s">
        <v>49</v>
      </c>
      <c r="D177" t="s">
        <v>50</v>
      </c>
      <c r="E177">
        <v>15</v>
      </c>
      <c r="F177">
        <v>1</v>
      </c>
      <c r="G177">
        <v>15</v>
      </c>
      <c r="H177" t="s">
        <v>54</v>
      </c>
      <c r="I177" t="s">
        <v>46</v>
      </c>
      <c r="J177" t="s">
        <v>27</v>
      </c>
      <c r="K177" t="s">
        <v>40</v>
      </c>
    </row>
    <row r="178" spans="1:11" x14ac:dyDescent="0.3">
      <c r="A178" t="s">
        <v>230</v>
      </c>
      <c r="B178" s="1">
        <v>45730</v>
      </c>
      <c r="C178" t="s">
        <v>49</v>
      </c>
      <c r="D178" t="s">
        <v>50</v>
      </c>
      <c r="E178">
        <v>15</v>
      </c>
      <c r="F178">
        <v>5</v>
      </c>
      <c r="G178">
        <v>75</v>
      </c>
      <c r="H178" t="s">
        <v>51</v>
      </c>
      <c r="I178" t="s">
        <v>22</v>
      </c>
      <c r="J178" t="s">
        <v>31</v>
      </c>
      <c r="K178" t="s">
        <v>23</v>
      </c>
    </row>
    <row r="179" spans="1:11" x14ac:dyDescent="0.3">
      <c r="A179" t="s">
        <v>231</v>
      </c>
      <c r="B179" s="1">
        <v>45694</v>
      </c>
      <c r="C179" t="s">
        <v>42</v>
      </c>
      <c r="D179" t="s">
        <v>20</v>
      </c>
      <c r="E179">
        <v>500</v>
      </c>
      <c r="F179">
        <v>3</v>
      </c>
      <c r="G179">
        <v>1500</v>
      </c>
      <c r="H179" t="s">
        <v>21</v>
      </c>
      <c r="I179" t="s">
        <v>81</v>
      </c>
      <c r="J179" t="s">
        <v>39</v>
      </c>
      <c r="K179" t="s">
        <v>40</v>
      </c>
    </row>
    <row r="180" spans="1:11" x14ac:dyDescent="0.3">
      <c r="A180" t="s">
        <v>232</v>
      </c>
      <c r="B180" s="1">
        <v>45741</v>
      </c>
      <c r="C180" t="s">
        <v>53</v>
      </c>
      <c r="D180" t="s">
        <v>36</v>
      </c>
      <c r="E180">
        <v>40</v>
      </c>
      <c r="F180">
        <v>1</v>
      </c>
      <c r="G180">
        <v>40</v>
      </c>
      <c r="H180" t="s">
        <v>29</v>
      </c>
      <c r="I180" t="s">
        <v>63</v>
      </c>
      <c r="J180" t="s">
        <v>39</v>
      </c>
      <c r="K180" t="s">
        <v>17</v>
      </c>
    </row>
    <row r="181" spans="1:11" x14ac:dyDescent="0.3">
      <c r="A181" t="s">
        <v>233</v>
      </c>
      <c r="B181" s="1">
        <v>45720</v>
      </c>
      <c r="C181" t="s">
        <v>65</v>
      </c>
      <c r="D181" t="s">
        <v>61</v>
      </c>
      <c r="E181">
        <v>1200</v>
      </c>
      <c r="F181">
        <v>3</v>
      </c>
      <c r="G181">
        <v>3600</v>
      </c>
      <c r="H181" t="s">
        <v>51</v>
      </c>
      <c r="I181" t="s">
        <v>46</v>
      </c>
      <c r="J181" t="s">
        <v>58</v>
      </c>
      <c r="K181" t="s">
        <v>40</v>
      </c>
    </row>
    <row r="182" spans="1:11" x14ac:dyDescent="0.3">
      <c r="A182" t="s">
        <v>234</v>
      </c>
      <c r="B182" s="1">
        <v>45719</v>
      </c>
      <c r="C182" t="s">
        <v>12</v>
      </c>
      <c r="D182" t="s">
        <v>13</v>
      </c>
      <c r="E182">
        <v>60</v>
      </c>
      <c r="F182">
        <v>2</v>
      </c>
      <c r="G182">
        <v>120</v>
      </c>
      <c r="H182" t="s">
        <v>51</v>
      </c>
      <c r="I182" t="s">
        <v>68</v>
      </c>
      <c r="J182" t="s">
        <v>16</v>
      </c>
      <c r="K182" t="s">
        <v>17</v>
      </c>
    </row>
    <row r="183" spans="1:11" x14ac:dyDescent="0.3">
      <c r="A183" t="s">
        <v>235</v>
      </c>
      <c r="B183" s="1">
        <v>45749</v>
      </c>
      <c r="C183" t="s">
        <v>35</v>
      </c>
      <c r="D183" t="s">
        <v>36</v>
      </c>
      <c r="E183">
        <v>20</v>
      </c>
      <c r="F183">
        <v>5</v>
      </c>
      <c r="G183">
        <v>100</v>
      </c>
      <c r="H183" t="s">
        <v>14</v>
      </c>
      <c r="I183" t="s">
        <v>26</v>
      </c>
      <c r="J183" t="s">
        <v>39</v>
      </c>
      <c r="K183" t="s">
        <v>40</v>
      </c>
    </row>
    <row r="184" spans="1:11" x14ac:dyDescent="0.3">
      <c r="A184" t="s">
        <v>236</v>
      </c>
      <c r="B184" s="1">
        <v>45741</v>
      </c>
      <c r="C184" t="s">
        <v>60</v>
      </c>
      <c r="D184" t="s">
        <v>61</v>
      </c>
      <c r="E184">
        <v>600</v>
      </c>
      <c r="F184">
        <v>1</v>
      </c>
      <c r="G184">
        <v>600</v>
      </c>
      <c r="H184" t="s">
        <v>14</v>
      </c>
      <c r="I184" t="s">
        <v>63</v>
      </c>
      <c r="J184" t="s">
        <v>16</v>
      </c>
      <c r="K184" t="s">
        <v>23</v>
      </c>
    </row>
    <row r="185" spans="1:11" x14ac:dyDescent="0.3">
      <c r="A185" t="s">
        <v>237</v>
      </c>
      <c r="B185" s="1">
        <v>45705</v>
      </c>
      <c r="C185" t="s">
        <v>49</v>
      </c>
      <c r="D185" t="s">
        <v>50</v>
      </c>
      <c r="E185">
        <v>15</v>
      </c>
      <c r="F185">
        <v>5</v>
      </c>
      <c r="G185">
        <v>75</v>
      </c>
      <c r="H185" t="s">
        <v>57</v>
      </c>
      <c r="I185" t="s">
        <v>44</v>
      </c>
      <c r="J185" t="s">
        <v>16</v>
      </c>
      <c r="K185" t="s">
        <v>23</v>
      </c>
    </row>
    <row r="186" spans="1:11" x14ac:dyDescent="0.3">
      <c r="A186" t="s">
        <v>238</v>
      </c>
      <c r="B186" s="1">
        <v>45738</v>
      </c>
      <c r="C186" t="s">
        <v>35</v>
      </c>
      <c r="D186" t="s">
        <v>36</v>
      </c>
      <c r="E186">
        <v>20</v>
      </c>
      <c r="F186">
        <v>1</v>
      </c>
      <c r="G186">
        <v>20</v>
      </c>
      <c r="H186" t="s">
        <v>72</v>
      </c>
      <c r="I186" t="s">
        <v>30</v>
      </c>
      <c r="J186" t="s">
        <v>16</v>
      </c>
      <c r="K186" t="s">
        <v>40</v>
      </c>
    </row>
    <row r="187" spans="1:11" x14ac:dyDescent="0.3">
      <c r="A187" t="s">
        <v>239</v>
      </c>
      <c r="B187" s="1">
        <v>45718</v>
      </c>
      <c r="C187" t="s">
        <v>60</v>
      </c>
      <c r="D187" t="s">
        <v>61</v>
      </c>
      <c r="E187">
        <v>600</v>
      </c>
      <c r="F187">
        <v>4</v>
      </c>
      <c r="G187">
        <v>2400</v>
      </c>
      <c r="H187" t="s">
        <v>54</v>
      </c>
      <c r="I187" t="s">
        <v>15</v>
      </c>
      <c r="J187" t="s">
        <v>39</v>
      </c>
      <c r="K187" t="s">
        <v>40</v>
      </c>
    </row>
    <row r="188" spans="1:11" x14ac:dyDescent="0.3">
      <c r="A188" t="s">
        <v>240</v>
      </c>
      <c r="B188" s="1">
        <v>45729</v>
      </c>
      <c r="C188" t="s">
        <v>56</v>
      </c>
      <c r="D188" t="s">
        <v>20</v>
      </c>
      <c r="E188">
        <v>800</v>
      </c>
      <c r="F188">
        <v>3</v>
      </c>
      <c r="G188">
        <v>2400</v>
      </c>
      <c r="H188" t="s">
        <v>25</v>
      </c>
      <c r="I188" t="s">
        <v>15</v>
      </c>
      <c r="J188" t="s">
        <v>39</v>
      </c>
      <c r="K188" t="s">
        <v>23</v>
      </c>
    </row>
    <row r="189" spans="1:11" x14ac:dyDescent="0.3">
      <c r="A189" t="s">
        <v>241</v>
      </c>
      <c r="B189" s="1">
        <v>45702</v>
      </c>
      <c r="C189" t="s">
        <v>49</v>
      </c>
      <c r="D189" t="s">
        <v>50</v>
      </c>
      <c r="E189">
        <v>15</v>
      </c>
      <c r="F189">
        <v>1</v>
      </c>
      <c r="G189">
        <v>15</v>
      </c>
      <c r="H189" t="s">
        <v>25</v>
      </c>
      <c r="I189" t="s">
        <v>46</v>
      </c>
      <c r="J189" t="s">
        <v>27</v>
      </c>
      <c r="K189" t="s">
        <v>40</v>
      </c>
    </row>
    <row r="190" spans="1:11" x14ac:dyDescent="0.3">
      <c r="A190" t="s">
        <v>242</v>
      </c>
      <c r="B190" s="1">
        <v>45698</v>
      </c>
      <c r="C190" t="s">
        <v>56</v>
      </c>
      <c r="D190" t="s">
        <v>20</v>
      </c>
      <c r="E190">
        <v>800</v>
      </c>
      <c r="F190">
        <v>3</v>
      </c>
      <c r="G190">
        <v>2400</v>
      </c>
      <c r="H190" t="s">
        <v>80</v>
      </c>
      <c r="I190" t="s">
        <v>38</v>
      </c>
      <c r="J190" t="s">
        <v>27</v>
      </c>
      <c r="K190" t="s">
        <v>40</v>
      </c>
    </row>
    <row r="191" spans="1:11" x14ac:dyDescent="0.3">
      <c r="A191" t="s">
        <v>243</v>
      </c>
      <c r="B191" s="1">
        <v>45711</v>
      </c>
      <c r="C191" t="s">
        <v>12</v>
      </c>
      <c r="D191" t="s">
        <v>13</v>
      </c>
      <c r="E191">
        <v>60</v>
      </c>
      <c r="F191">
        <v>1</v>
      </c>
      <c r="G191">
        <v>60</v>
      </c>
      <c r="H191" t="s">
        <v>43</v>
      </c>
      <c r="I191" t="s">
        <v>38</v>
      </c>
      <c r="J191" t="s">
        <v>39</v>
      </c>
      <c r="K191" t="s">
        <v>40</v>
      </c>
    </row>
    <row r="192" spans="1:11" x14ac:dyDescent="0.3">
      <c r="A192" t="s">
        <v>244</v>
      </c>
      <c r="B192" s="1">
        <v>45716</v>
      </c>
      <c r="C192" t="s">
        <v>53</v>
      </c>
      <c r="D192" t="s">
        <v>36</v>
      </c>
      <c r="E192">
        <v>40</v>
      </c>
      <c r="F192">
        <v>4</v>
      </c>
      <c r="G192">
        <v>160</v>
      </c>
      <c r="H192" t="s">
        <v>25</v>
      </c>
      <c r="I192" t="s">
        <v>63</v>
      </c>
      <c r="J192" t="s">
        <v>27</v>
      </c>
      <c r="K192" t="s">
        <v>23</v>
      </c>
    </row>
    <row r="193" spans="1:11" x14ac:dyDescent="0.3">
      <c r="A193" t="s">
        <v>245</v>
      </c>
      <c r="B193" s="1">
        <v>45747</v>
      </c>
      <c r="C193" t="s">
        <v>19</v>
      </c>
      <c r="D193" t="s">
        <v>20</v>
      </c>
      <c r="E193">
        <v>100</v>
      </c>
      <c r="F193">
        <v>3</v>
      </c>
      <c r="G193">
        <v>300</v>
      </c>
      <c r="H193" t="s">
        <v>43</v>
      </c>
      <c r="I193" t="s">
        <v>30</v>
      </c>
      <c r="J193" t="s">
        <v>58</v>
      </c>
      <c r="K193" t="s">
        <v>23</v>
      </c>
    </row>
    <row r="194" spans="1:11" x14ac:dyDescent="0.3">
      <c r="A194" t="s">
        <v>246</v>
      </c>
      <c r="B194" s="1">
        <v>45746</v>
      </c>
      <c r="C194" t="s">
        <v>49</v>
      </c>
      <c r="D194" t="s">
        <v>50</v>
      </c>
      <c r="E194">
        <v>15</v>
      </c>
      <c r="F194">
        <v>5</v>
      </c>
      <c r="G194">
        <v>75</v>
      </c>
      <c r="H194" t="s">
        <v>51</v>
      </c>
      <c r="I194" t="s">
        <v>81</v>
      </c>
      <c r="J194" t="s">
        <v>27</v>
      </c>
      <c r="K194" t="s">
        <v>23</v>
      </c>
    </row>
    <row r="195" spans="1:11" x14ac:dyDescent="0.3">
      <c r="A195" t="s">
        <v>247</v>
      </c>
      <c r="B195" s="1">
        <v>45708</v>
      </c>
      <c r="C195" t="s">
        <v>53</v>
      </c>
      <c r="D195" t="s">
        <v>36</v>
      </c>
      <c r="E195">
        <v>40</v>
      </c>
      <c r="F195">
        <v>4</v>
      </c>
      <c r="G195">
        <v>160</v>
      </c>
      <c r="H195" t="s">
        <v>25</v>
      </c>
      <c r="I195" t="s">
        <v>22</v>
      </c>
      <c r="J195" t="s">
        <v>16</v>
      </c>
      <c r="K195" t="s">
        <v>17</v>
      </c>
    </row>
    <row r="196" spans="1:11" x14ac:dyDescent="0.3">
      <c r="A196" t="s">
        <v>248</v>
      </c>
      <c r="B196" s="1">
        <v>45726</v>
      </c>
      <c r="C196" t="s">
        <v>42</v>
      </c>
      <c r="D196" t="s">
        <v>20</v>
      </c>
      <c r="E196">
        <v>500</v>
      </c>
      <c r="F196">
        <v>3</v>
      </c>
      <c r="G196">
        <v>1500</v>
      </c>
      <c r="H196" t="s">
        <v>29</v>
      </c>
      <c r="I196" t="s">
        <v>26</v>
      </c>
      <c r="J196" t="s">
        <v>58</v>
      </c>
      <c r="K196" t="s">
        <v>17</v>
      </c>
    </row>
    <row r="197" spans="1:11" x14ac:dyDescent="0.3">
      <c r="A197" t="s">
        <v>249</v>
      </c>
      <c r="B197" s="1">
        <v>45720</v>
      </c>
      <c r="C197" t="s">
        <v>19</v>
      </c>
      <c r="D197" t="s">
        <v>20</v>
      </c>
      <c r="E197">
        <v>100</v>
      </c>
      <c r="F197">
        <v>5</v>
      </c>
      <c r="G197">
        <v>500</v>
      </c>
      <c r="H197" t="s">
        <v>57</v>
      </c>
      <c r="I197" t="s">
        <v>63</v>
      </c>
      <c r="J197" t="s">
        <v>16</v>
      </c>
      <c r="K197" t="s">
        <v>23</v>
      </c>
    </row>
    <row r="198" spans="1:11" x14ac:dyDescent="0.3">
      <c r="A198" t="s">
        <v>250</v>
      </c>
      <c r="B198" s="1">
        <v>45728</v>
      </c>
      <c r="C198" t="s">
        <v>12</v>
      </c>
      <c r="D198" t="s">
        <v>13</v>
      </c>
      <c r="E198">
        <v>60</v>
      </c>
      <c r="F198">
        <v>2</v>
      </c>
      <c r="G198">
        <v>120</v>
      </c>
      <c r="H198" t="s">
        <v>54</v>
      </c>
      <c r="I198" t="s">
        <v>26</v>
      </c>
      <c r="J198" t="s">
        <v>58</v>
      </c>
      <c r="K198" t="s">
        <v>40</v>
      </c>
    </row>
    <row r="199" spans="1:11" x14ac:dyDescent="0.3">
      <c r="A199" t="s">
        <v>251</v>
      </c>
      <c r="B199" s="1">
        <v>45708</v>
      </c>
      <c r="C199" t="s">
        <v>56</v>
      </c>
      <c r="D199" t="s">
        <v>20</v>
      </c>
      <c r="E199">
        <v>800</v>
      </c>
      <c r="F199">
        <v>4</v>
      </c>
      <c r="G199">
        <v>3200</v>
      </c>
      <c r="H199" t="s">
        <v>80</v>
      </c>
      <c r="I199" t="s">
        <v>63</v>
      </c>
      <c r="J199" t="s">
        <v>27</v>
      </c>
      <c r="K199" t="s">
        <v>23</v>
      </c>
    </row>
    <row r="200" spans="1:11" x14ac:dyDescent="0.3">
      <c r="A200" t="s">
        <v>252</v>
      </c>
      <c r="B200" s="1">
        <v>45710</v>
      </c>
      <c r="C200" t="s">
        <v>42</v>
      </c>
      <c r="D200" t="s">
        <v>20</v>
      </c>
      <c r="E200">
        <v>500</v>
      </c>
      <c r="F200">
        <v>3</v>
      </c>
      <c r="G200">
        <v>1500</v>
      </c>
      <c r="H200" t="s">
        <v>72</v>
      </c>
      <c r="I200" t="s">
        <v>30</v>
      </c>
      <c r="J200" t="s">
        <v>31</v>
      </c>
      <c r="K200" t="s">
        <v>40</v>
      </c>
    </row>
    <row r="201" spans="1:11" x14ac:dyDescent="0.3">
      <c r="A201" t="s">
        <v>253</v>
      </c>
      <c r="B201" s="1">
        <v>45698</v>
      </c>
      <c r="C201" t="s">
        <v>49</v>
      </c>
      <c r="D201" t="s">
        <v>50</v>
      </c>
      <c r="E201">
        <v>15</v>
      </c>
      <c r="F201">
        <v>2</v>
      </c>
      <c r="G201">
        <v>30</v>
      </c>
      <c r="H201" t="s">
        <v>72</v>
      </c>
      <c r="I201" t="s">
        <v>68</v>
      </c>
      <c r="J201" t="s">
        <v>16</v>
      </c>
      <c r="K201" t="s">
        <v>40</v>
      </c>
    </row>
    <row r="202" spans="1:11" x14ac:dyDescent="0.3">
      <c r="A202" t="s">
        <v>254</v>
      </c>
      <c r="B202" s="1">
        <v>45691</v>
      </c>
      <c r="C202" t="s">
        <v>49</v>
      </c>
      <c r="D202" t="s">
        <v>50</v>
      </c>
      <c r="E202">
        <v>15</v>
      </c>
      <c r="F202">
        <v>4</v>
      </c>
      <c r="G202">
        <v>60</v>
      </c>
      <c r="H202" t="s">
        <v>54</v>
      </c>
      <c r="I202" t="s">
        <v>22</v>
      </c>
      <c r="J202" t="s">
        <v>31</v>
      </c>
      <c r="K202" t="s">
        <v>40</v>
      </c>
    </row>
    <row r="203" spans="1:11" x14ac:dyDescent="0.3">
      <c r="A203" t="s">
        <v>255</v>
      </c>
      <c r="B203" s="1">
        <v>45709</v>
      </c>
      <c r="C203" t="s">
        <v>42</v>
      </c>
      <c r="D203" t="s">
        <v>20</v>
      </c>
      <c r="E203">
        <v>500</v>
      </c>
      <c r="F203">
        <v>2</v>
      </c>
      <c r="G203">
        <v>1000</v>
      </c>
      <c r="H203" t="s">
        <v>57</v>
      </c>
      <c r="I203" t="s">
        <v>44</v>
      </c>
      <c r="J203" t="s">
        <v>31</v>
      </c>
      <c r="K203" t="s">
        <v>17</v>
      </c>
    </row>
    <row r="204" spans="1:11" x14ac:dyDescent="0.3">
      <c r="A204" t="s">
        <v>256</v>
      </c>
      <c r="B204" s="1">
        <v>45709</v>
      </c>
      <c r="C204" t="s">
        <v>65</v>
      </c>
      <c r="D204" t="s">
        <v>61</v>
      </c>
      <c r="E204">
        <v>1200</v>
      </c>
      <c r="F204">
        <v>3</v>
      </c>
      <c r="G204">
        <v>3600</v>
      </c>
      <c r="H204" t="s">
        <v>25</v>
      </c>
      <c r="I204" t="s">
        <v>30</v>
      </c>
      <c r="J204" t="s">
        <v>16</v>
      </c>
      <c r="K204" t="s">
        <v>40</v>
      </c>
    </row>
    <row r="205" spans="1:11" x14ac:dyDescent="0.3">
      <c r="A205" t="s">
        <v>257</v>
      </c>
      <c r="B205" s="1">
        <v>45724</v>
      </c>
      <c r="C205" t="s">
        <v>12</v>
      </c>
      <c r="D205" t="s">
        <v>13</v>
      </c>
      <c r="E205">
        <v>60</v>
      </c>
      <c r="F205">
        <v>5</v>
      </c>
      <c r="G205">
        <v>300</v>
      </c>
      <c r="H205" t="s">
        <v>80</v>
      </c>
      <c r="I205" t="s">
        <v>44</v>
      </c>
      <c r="J205" t="s">
        <v>58</v>
      </c>
      <c r="K205" t="s">
        <v>23</v>
      </c>
    </row>
    <row r="206" spans="1:11" x14ac:dyDescent="0.3">
      <c r="A206" t="s">
        <v>258</v>
      </c>
      <c r="B206" s="1">
        <v>45715</v>
      </c>
      <c r="C206" t="s">
        <v>19</v>
      </c>
      <c r="D206" t="s">
        <v>20</v>
      </c>
      <c r="E206">
        <v>100</v>
      </c>
      <c r="F206">
        <v>2</v>
      </c>
      <c r="G206">
        <v>200</v>
      </c>
      <c r="H206" t="s">
        <v>51</v>
      </c>
      <c r="I206" t="s">
        <v>38</v>
      </c>
      <c r="J206" t="s">
        <v>39</v>
      </c>
      <c r="K206" t="s">
        <v>40</v>
      </c>
    </row>
    <row r="207" spans="1:11" x14ac:dyDescent="0.3">
      <c r="A207" t="s">
        <v>259</v>
      </c>
      <c r="B207" s="1">
        <v>45700</v>
      </c>
      <c r="C207" t="s">
        <v>60</v>
      </c>
      <c r="D207" t="s">
        <v>61</v>
      </c>
      <c r="E207">
        <v>600</v>
      </c>
      <c r="F207">
        <v>5</v>
      </c>
      <c r="G207">
        <v>3000</v>
      </c>
      <c r="H207" t="s">
        <v>14</v>
      </c>
      <c r="I207" t="s">
        <v>44</v>
      </c>
      <c r="J207" t="s">
        <v>27</v>
      </c>
      <c r="K207" t="s">
        <v>23</v>
      </c>
    </row>
    <row r="208" spans="1:11" x14ac:dyDescent="0.3">
      <c r="A208" t="s">
        <v>260</v>
      </c>
      <c r="B208" s="1">
        <v>45737</v>
      </c>
      <c r="C208" t="s">
        <v>60</v>
      </c>
      <c r="D208" t="s">
        <v>61</v>
      </c>
      <c r="E208">
        <v>600</v>
      </c>
      <c r="F208">
        <v>1</v>
      </c>
      <c r="G208">
        <v>600</v>
      </c>
      <c r="H208" t="s">
        <v>25</v>
      </c>
      <c r="I208" t="s">
        <v>44</v>
      </c>
      <c r="J208" t="s">
        <v>31</v>
      </c>
      <c r="K208" t="s">
        <v>40</v>
      </c>
    </row>
    <row r="209" spans="1:11" x14ac:dyDescent="0.3">
      <c r="A209" t="s">
        <v>261</v>
      </c>
      <c r="B209" s="1">
        <v>45690</v>
      </c>
      <c r="C209" t="s">
        <v>65</v>
      </c>
      <c r="D209" t="s">
        <v>61</v>
      </c>
      <c r="E209">
        <v>1200</v>
      </c>
      <c r="F209">
        <v>3</v>
      </c>
      <c r="G209">
        <v>3600</v>
      </c>
      <c r="H209" t="s">
        <v>25</v>
      </c>
      <c r="I209" t="s">
        <v>44</v>
      </c>
      <c r="J209" t="s">
        <v>39</v>
      </c>
      <c r="K209" t="s">
        <v>40</v>
      </c>
    </row>
    <row r="210" spans="1:11" x14ac:dyDescent="0.3">
      <c r="A210" t="s">
        <v>262</v>
      </c>
      <c r="B210" s="1">
        <v>45745</v>
      </c>
      <c r="C210" t="s">
        <v>53</v>
      </c>
      <c r="D210" t="s">
        <v>36</v>
      </c>
      <c r="E210">
        <v>40</v>
      </c>
      <c r="F210">
        <v>5</v>
      </c>
      <c r="G210">
        <v>200</v>
      </c>
      <c r="H210" t="s">
        <v>57</v>
      </c>
      <c r="I210" t="s">
        <v>30</v>
      </c>
      <c r="J210" t="s">
        <v>39</v>
      </c>
      <c r="K210" t="s">
        <v>40</v>
      </c>
    </row>
    <row r="211" spans="1:11" x14ac:dyDescent="0.3">
      <c r="A211" t="s">
        <v>263</v>
      </c>
      <c r="B211" s="1">
        <v>45739</v>
      </c>
      <c r="C211" t="s">
        <v>56</v>
      </c>
      <c r="D211" t="s">
        <v>20</v>
      </c>
      <c r="E211">
        <v>800</v>
      </c>
      <c r="F211">
        <v>3</v>
      </c>
      <c r="G211">
        <v>2400</v>
      </c>
      <c r="H211" t="s">
        <v>80</v>
      </c>
      <c r="I211" t="s">
        <v>15</v>
      </c>
      <c r="J211" t="s">
        <v>39</v>
      </c>
      <c r="K211" t="s">
        <v>40</v>
      </c>
    </row>
    <row r="212" spans="1:11" x14ac:dyDescent="0.3">
      <c r="A212" t="s">
        <v>264</v>
      </c>
      <c r="B212" s="1">
        <v>45729</v>
      </c>
      <c r="C212" t="s">
        <v>42</v>
      </c>
      <c r="D212" t="s">
        <v>20</v>
      </c>
      <c r="E212">
        <v>500</v>
      </c>
      <c r="F212">
        <v>1</v>
      </c>
      <c r="G212">
        <v>500</v>
      </c>
      <c r="H212" t="s">
        <v>51</v>
      </c>
      <c r="I212" t="s">
        <v>44</v>
      </c>
      <c r="J212" t="s">
        <v>58</v>
      </c>
      <c r="K212" t="s">
        <v>23</v>
      </c>
    </row>
    <row r="213" spans="1:11" x14ac:dyDescent="0.3">
      <c r="A213" t="s">
        <v>265</v>
      </c>
      <c r="B213" s="1">
        <v>45725</v>
      </c>
      <c r="C213" t="s">
        <v>35</v>
      </c>
      <c r="D213" t="s">
        <v>36</v>
      </c>
      <c r="E213">
        <v>20</v>
      </c>
      <c r="F213">
        <v>4</v>
      </c>
      <c r="G213">
        <v>80</v>
      </c>
      <c r="H213" t="s">
        <v>14</v>
      </c>
      <c r="I213" t="s">
        <v>38</v>
      </c>
      <c r="J213" t="s">
        <v>16</v>
      </c>
      <c r="K213" t="s">
        <v>40</v>
      </c>
    </row>
    <row r="214" spans="1:11" x14ac:dyDescent="0.3">
      <c r="A214" t="s">
        <v>266</v>
      </c>
      <c r="B214" s="1">
        <v>45694</v>
      </c>
      <c r="C214" t="s">
        <v>56</v>
      </c>
      <c r="D214" t="s">
        <v>20</v>
      </c>
      <c r="E214">
        <v>800</v>
      </c>
      <c r="F214">
        <v>1</v>
      </c>
      <c r="G214">
        <v>800</v>
      </c>
      <c r="H214" t="s">
        <v>80</v>
      </c>
      <c r="I214" t="s">
        <v>68</v>
      </c>
      <c r="J214" t="s">
        <v>27</v>
      </c>
      <c r="K214" t="s">
        <v>17</v>
      </c>
    </row>
    <row r="215" spans="1:11" x14ac:dyDescent="0.3">
      <c r="A215" t="s">
        <v>267</v>
      </c>
      <c r="B215" s="1">
        <v>45706</v>
      </c>
      <c r="C215" t="s">
        <v>33</v>
      </c>
      <c r="D215" t="s">
        <v>20</v>
      </c>
      <c r="E215">
        <v>150</v>
      </c>
      <c r="F215">
        <v>5</v>
      </c>
      <c r="G215">
        <v>750</v>
      </c>
      <c r="H215" t="s">
        <v>21</v>
      </c>
      <c r="I215" t="s">
        <v>38</v>
      </c>
      <c r="J215" t="s">
        <v>16</v>
      </c>
      <c r="K215" t="s">
        <v>40</v>
      </c>
    </row>
    <row r="216" spans="1:11" x14ac:dyDescent="0.3">
      <c r="A216" t="s">
        <v>268</v>
      </c>
      <c r="B216" s="1">
        <v>45723</v>
      </c>
      <c r="C216" t="s">
        <v>12</v>
      </c>
      <c r="D216" t="s">
        <v>13</v>
      </c>
      <c r="E216">
        <v>60</v>
      </c>
      <c r="F216">
        <v>1</v>
      </c>
      <c r="G216">
        <v>60</v>
      </c>
      <c r="H216" t="s">
        <v>14</v>
      </c>
      <c r="I216" t="s">
        <v>38</v>
      </c>
      <c r="J216" t="s">
        <v>39</v>
      </c>
      <c r="K216" t="s">
        <v>40</v>
      </c>
    </row>
    <row r="217" spans="1:11" x14ac:dyDescent="0.3">
      <c r="A217" t="s">
        <v>269</v>
      </c>
      <c r="B217" s="1">
        <v>45742</v>
      </c>
      <c r="C217" t="s">
        <v>53</v>
      </c>
      <c r="D217" t="s">
        <v>36</v>
      </c>
      <c r="E217">
        <v>40</v>
      </c>
      <c r="F217">
        <v>2</v>
      </c>
      <c r="G217">
        <v>80</v>
      </c>
      <c r="H217" t="s">
        <v>72</v>
      </c>
      <c r="I217" t="s">
        <v>81</v>
      </c>
      <c r="J217" t="s">
        <v>31</v>
      </c>
      <c r="K217" t="s">
        <v>40</v>
      </c>
    </row>
    <row r="218" spans="1:11" x14ac:dyDescent="0.3">
      <c r="A218" t="s">
        <v>270</v>
      </c>
      <c r="B218" s="1">
        <v>45735</v>
      </c>
      <c r="C218" t="s">
        <v>12</v>
      </c>
      <c r="D218" t="s">
        <v>13</v>
      </c>
      <c r="E218">
        <v>60</v>
      </c>
      <c r="F218">
        <v>2</v>
      </c>
      <c r="G218">
        <v>120</v>
      </c>
      <c r="H218" t="s">
        <v>14</v>
      </c>
      <c r="I218" t="s">
        <v>46</v>
      </c>
      <c r="J218" t="s">
        <v>58</v>
      </c>
      <c r="K218" t="s">
        <v>23</v>
      </c>
    </row>
    <row r="219" spans="1:11" x14ac:dyDescent="0.3">
      <c r="A219" t="s">
        <v>271</v>
      </c>
      <c r="B219" s="1">
        <v>45703</v>
      </c>
      <c r="C219" t="s">
        <v>19</v>
      </c>
      <c r="D219" t="s">
        <v>20</v>
      </c>
      <c r="E219">
        <v>100</v>
      </c>
      <c r="F219">
        <v>4</v>
      </c>
      <c r="G219">
        <v>400</v>
      </c>
      <c r="H219" t="s">
        <v>57</v>
      </c>
      <c r="I219" t="s">
        <v>15</v>
      </c>
      <c r="J219" t="s">
        <v>58</v>
      </c>
      <c r="K219" t="s">
        <v>17</v>
      </c>
    </row>
    <row r="220" spans="1:11" x14ac:dyDescent="0.3">
      <c r="A220" t="s">
        <v>272</v>
      </c>
      <c r="B220" s="1">
        <v>45705</v>
      </c>
      <c r="C220" t="s">
        <v>19</v>
      </c>
      <c r="D220" t="s">
        <v>20</v>
      </c>
      <c r="E220">
        <v>100</v>
      </c>
      <c r="F220">
        <v>3</v>
      </c>
      <c r="G220">
        <v>300</v>
      </c>
      <c r="H220" t="s">
        <v>51</v>
      </c>
      <c r="I220" t="s">
        <v>38</v>
      </c>
      <c r="J220" t="s">
        <v>39</v>
      </c>
      <c r="K220" t="s">
        <v>17</v>
      </c>
    </row>
    <row r="221" spans="1:11" x14ac:dyDescent="0.3">
      <c r="A221" t="s">
        <v>273</v>
      </c>
      <c r="B221" s="1">
        <v>45698</v>
      </c>
      <c r="C221" t="s">
        <v>33</v>
      </c>
      <c r="D221" t="s">
        <v>20</v>
      </c>
      <c r="E221">
        <v>150</v>
      </c>
      <c r="F221">
        <v>3</v>
      </c>
      <c r="G221">
        <v>450</v>
      </c>
      <c r="H221" t="s">
        <v>54</v>
      </c>
      <c r="I221" t="s">
        <v>26</v>
      </c>
      <c r="J221" t="s">
        <v>16</v>
      </c>
      <c r="K221" t="s">
        <v>40</v>
      </c>
    </row>
    <row r="222" spans="1:11" x14ac:dyDescent="0.3">
      <c r="A222" t="s">
        <v>274</v>
      </c>
      <c r="B222" s="1">
        <v>45716</v>
      </c>
      <c r="C222" t="s">
        <v>60</v>
      </c>
      <c r="D222" t="s">
        <v>61</v>
      </c>
      <c r="E222">
        <v>600</v>
      </c>
      <c r="F222">
        <v>2</v>
      </c>
      <c r="G222">
        <v>1200</v>
      </c>
      <c r="H222" t="s">
        <v>21</v>
      </c>
      <c r="I222" t="s">
        <v>81</v>
      </c>
      <c r="J222" t="s">
        <v>58</v>
      </c>
      <c r="K222" t="s">
        <v>17</v>
      </c>
    </row>
    <row r="223" spans="1:11" x14ac:dyDescent="0.3">
      <c r="A223" t="s">
        <v>275</v>
      </c>
      <c r="B223" s="1">
        <v>45704</v>
      </c>
      <c r="C223" t="s">
        <v>60</v>
      </c>
      <c r="D223" t="s">
        <v>61</v>
      </c>
      <c r="E223">
        <v>600</v>
      </c>
      <c r="F223">
        <v>2</v>
      </c>
      <c r="G223">
        <v>1200</v>
      </c>
      <c r="H223" t="s">
        <v>72</v>
      </c>
      <c r="I223" t="s">
        <v>63</v>
      </c>
      <c r="J223" t="s">
        <v>39</v>
      </c>
      <c r="K223" t="s">
        <v>17</v>
      </c>
    </row>
    <row r="224" spans="1:11" x14ac:dyDescent="0.3">
      <c r="A224" t="s">
        <v>276</v>
      </c>
      <c r="B224" s="1">
        <v>45740</v>
      </c>
      <c r="C224" t="s">
        <v>53</v>
      </c>
      <c r="D224" t="s">
        <v>36</v>
      </c>
      <c r="E224">
        <v>40</v>
      </c>
      <c r="F224">
        <v>2</v>
      </c>
      <c r="G224">
        <v>80</v>
      </c>
      <c r="H224" t="s">
        <v>51</v>
      </c>
      <c r="I224" t="s">
        <v>26</v>
      </c>
      <c r="J224" t="s">
        <v>27</v>
      </c>
      <c r="K224" t="s">
        <v>17</v>
      </c>
    </row>
    <row r="225" spans="1:11" x14ac:dyDescent="0.3">
      <c r="A225" t="s">
        <v>277</v>
      </c>
      <c r="B225" s="1">
        <v>45734</v>
      </c>
      <c r="C225" t="s">
        <v>65</v>
      </c>
      <c r="D225" t="s">
        <v>61</v>
      </c>
      <c r="E225">
        <v>1200</v>
      </c>
      <c r="F225">
        <v>1</v>
      </c>
      <c r="G225">
        <v>1200</v>
      </c>
      <c r="H225" t="s">
        <v>80</v>
      </c>
      <c r="I225" t="s">
        <v>44</v>
      </c>
      <c r="J225" t="s">
        <v>39</v>
      </c>
      <c r="K225" t="s">
        <v>40</v>
      </c>
    </row>
    <row r="226" spans="1:11" x14ac:dyDescent="0.3">
      <c r="A226" t="s">
        <v>278</v>
      </c>
      <c r="B226" s="1">
        <v>45727</v>
      </c>
      <c r="C226" t="s">
        <v>53</v>
      </c>
      <c r="D226" t="s">
        <v>36</v>
      </c>
      <c r="E226">
        <v>40</v>
      </c>
      <c r="F226">
        <v>1</v>
      </c>
      <c r="G226">
        <v>40</v>
      </c>
      <c r="H226" t="s">
        <v>43</v>
      </c>
      <c r="I226" t="s">
        <v>15</v>
      </c>
      <c r="J226" t="s">
        <v>58</v>
      </c>
      <c r="K226" t="s">
        <v>17</v>
      </c>
    </row>
    <row r="227" spans="1:11" x14ac:dyDescent="0.3">
      <c r="A227" t="s">
        <v>279</v>
      </c>
      <c r="B227" s="1">
        <v>45721</v>
      </c>
      <c r="C227" t="s">
        <v>12</v>
      </c>
      <c r="D227" t="s">
        <v>13</v>
      </c>
      <c r="E227">
        <v>60</v>
      </c>
      <c r="F227">
        <v>4</v>
      </c>
      <c r="G227">
        <v>240</v>
      </c>
      <c r="H227" t="s">
        <v>72</v>
      </c>
      <c r="I227" t="s">
        <v>81</v>
      </c>
      <c r="J227" t="s">
        <v>27</v>
      </c>
      <c r="K227" t="s">
        <v>40</v>
      </c>
    </row>
    <row r="228" spans="1:11" x14ac:dyDescent="0.3">
      <c r="A228" t="s">
        <v>280</v>
      </c>
      <c r="B228" s="1">
        <v>45749</v>
      </c>
      <c r="C228" t="s">
        <v>19</v>
      </c>
      <c r="D228" t="s">
        <v>20</v>
      </c>
      <c r="E228">
        <v>100</v>
      </c>
      <c r="F228">
        <v>5</v>
      </c>
      <c r="G228">
        <v>500</v>
      </c>
      <c r="H228" t="s">
        <v>14</v>
      </c>
      <c r="I228" t="s">
        <v>44</v>
      </c>
      <c r="J228" t="s">
        <v>27</v>
      </c>
      <c r="K228" t="s">
        <v>17</v>
      </c>
    </row>
    <row r="229" spans="1:11" x14ac:dyDescent="0.3">
      <c r="A229" t="s">
        <v>281</v>
      </c>
      <c r="B229" s="1">
        <v>45700</v>
      </c>
      <c r="C229" t="s">
        <v>12</v>
      </c>
      <c r="D229" t="s">
        <v>13</v>
      </c>
      <c r="E229">
        <v>60</v>
      </c>
      <c r="F229">
        <v>1</v>
      </c>
      <c r="G229">
        <v>60</v>
      </c>
      <c r="H229" t="s">
        <v>51</v>
      </c>
      <c r="I229" t="s">
        <v>22</v>
      </c>
      <c r="J229" t="s">
        <v>31</v>
      </c>
      <c r="K229" t="s">
        <v>23</v>
      </c>
    </row>
    <row r="230" spans="1:11" x14ac:dyDescent="0.3">
      <c r="A230" t="s">
        <v>282</v>
      </c>
      <c r="B230" s="1">
        <v>45737</v>
      </c>
      <c r="C230" t="s">
        <v>12</v>
      </c>
      <c r="D230" t="s">
        <v>13</v>
      </c>
      <c r="E230">
        <v>60</v>
      </c>
      <c r="F230">
        <v>3</v>
      </c>
      <c r="G230">
        <v>180</v>
      </c>
      <c r="H230" t="s">
        <v>14</v>
      </c>
      <c r="I230" t="s">
        <v>22</v>
      </c>
      <c r="J230" t="s">
        <v>31</v>
      </c>
      <c r="K230" t="s">
        <v>23</v>
      </c>
    </row>
    <row r="231" spans="1:11" x14ac:dyDescent="0.3">
      <c r="A231" t="s">
        <v>283</v>
      </c>
      <c r="B231" s="1">
        <v>45747</v>
      </c>
      <c r="C231" t="s">
        <v>19</v>
      </c>
      <c r="D231" t="s">
        <v>20</v>
      </c>
      <c r="E231">
        <v>100</v>
      </c>
      <c r="F231">
        <v>4</v>
      </c>
      <c r="G231">
        <v>400</v>
      </c>
      <c r="H231" t="s">
        <v>80</v>
      </c>
      <c r="I231" t="s">
        <v>22</v>
      </c>
      <c r="J231" t="s">
        <v>27</v>
      </c>
      <c r="K231" t="s">
        <v>23</v>
      </c>
    </row>
    <row r="232" spans="1:11" x14ac:dyDescent="0.3">
      <c r="A232" t="s">
        <v>284</v>
      </c>
      <c r="B232" s="1">
        <v>45704</v>
      </c>
      <c r="C232" t="s">
        <v>56</v>
      </c>
      <c r="D232" t="s">
        <v>20</v>
      </c>
      <c r="E232">
        <v>800</v>
      </c>
      <c r="F232">
        <v>5</v>
      </c>
      <c r="G232">
        <v>4000</v>
      </c>
      <c r="H232" t="s">
        <v>80</v>
      </c>
      <c r="I232" t="s">
        <v>46</v>
      </c>
      <c r="J232" t="s">
        <v>31</v>
      </c>
      <c r="K232" t="s">
        <v>17</v>
      </c>
    </row>
    <row r="233" spans="1:11" x14ac:dyDescent="0.3">
      <c r="A233" t="s">
        <v>285</v>
      </c>
      <c r="B233" s="1">
        <v>45730</v>
      </c>
      <c r="C233" t="s">
        <v>65</v>
      </c>
      <c r="D233" t="s">
        <v>61</v>
      </c>
      <c r="E233">
        <v>1200</v>
      </c>
      <c r="F233">
        <v>3</v>
      </c>
      <c r="G233">
        <v>3600</v>
      </c>
      <c r="H233" t="s">
        <v>14</v>
      </c>
      <c r="I233" t="s">
        <v>68</v>
      </c>
      <c r="J233" t="s">
        <v>31</v>
      </c>
      <c r="K233" t="s">
        <v>40</v>
      </c>
    </row>
    <row r="234" spans="1:11" x14ac:dyDescent="0.3">
      <c r="A234" t="s">
        <v>286</v>
      </c>
      <c r="B234" s="1">
        <v>45708</v>
      </c>
      <c r="C234" t="s">
        <v>12</v>
      </c>
      <c r="D234" t="s">
        <v>13</v>
      </c>
      <c r="E234">
        <v>60</v>
      </c>
      <c r="F234">
        <v>1</v>
      </c>
      <c r="G234">
        <v>60</v>
      </c>
      <c r="H234" t="s">
        <v>51</v>
      </c>
      <c r="I234" t="s">
        <v>46</v>
      </c>
      <c r="J234" t="s">
        <v>39</v>
      </c>
      <c r="K234" t="s">
        <v>17</v>
      </c>
    </row>
    <row r="235" spans="1:11" x14ac:dyDescent="0.3">
      <c r="A235" t="s">
        <v>287</v>
      </c>
      <c r="B235" s="1">
        <v>45724</v>
      </c>
      <c r="C235" t="s">
        <v>49</v>
      </c>
      <c r="D235" t="s">
        <v>50</v>
      </c>
      <c r="E235">
        <v>15</v>
      </c>
      <c r="F235">
        <v>1</v>
      </c>
      <c r="G235">
        <v>15</v>
      </c>
      <c r="H235" t="s">
        <v>80</v>
      </c>
      <c r="I235" t="s">
        <v>44</v>
      </c>
      <c r="J235" t="s">
        <v>27</v>
      </c>
      <c r="K235" t="s">
        <v>17</v>
      </c>
    </row>
    <row r="236" spans="1:11" x14ac:dyDescent="0.3">
      <c r="A236" t="s">
        <v>288</v>
      </c>
      <c r="B236" s="1">
        <v>45739</v>
      </c>
      <c r="C236" t="s">
        <v>65</v>
      </c>
      <c r="D236" t="s">
        <v>61</v>
      </c>
      <c r="E236">
        <v>1200</v>
      </c>
      <c r="F236">
        <v>1</v>
      </c>
      <c r="G236">
        <v>1200</v>
      </c>
      <c r="H236" t="s">
        <v>57</v>
      </c>
      <c r="I236" t="s">
        <v>30</v>
      </c>
      <c r="J236" t="s">
        <v>39</v>
      </c>
      <c r="K236" t="s">
        <v>40</v>
      </c>
    </row>
    <row r="237" spans="1:11" x14ac:dyDescent="0.3">
      <c r="A237" t="s">
        <v>289</v>
      </c>
      <c r="B237" s="1">
        <v>45721</v>
      </c>
      <c r="C237" t="s">
        <v>42</v>
      </c>
      <c r="D237" t="s">
        <v>20</v>
      </c>
      <c r="E237">
        <v>500</v>
      </c>
      <c r="F237">
        <v>5</v>
      </c>
      <c r="G237">
        <v>2500</v>
      </c>
      <c r="H237" t="s">
        <v>25</v>
      </c>
      <c r="I237" t="s">
        <v>46</v>
      </c>
      <c r="J237" t="s">
        <v>39</v>
      </c>
      <c r="K237" t="s">
        <v>40</v>
      </c>
    </row>
    <row r="238" spans="1:11" x14ac:dyDescent="0.3">
      <c r="A238" t="s">
        <v>290</v>
      </c>
      <c r="B238" s="1">
        <v>45699</v>
      </c>
      <c r="C238" t="s">
        <v>19</v>
      </c>
      <c r="D238" t="s">
        <v>20</v>
      </c>
      <c r="E238">
        <v>100</v>
      </c>
      <c r="F238">
        <v>3</v>
      </c>
      <c r="G238">
        <v>300</v>
      </c>
      <c r="H238" t="s">
        <v>54</v>
      </c>
      <c r="I238" t="s">
        <v>38</v>
      </c>
      <c r="J238" t="s">
        <v>16</v>
      </c>
      <c r="K238" t="s">
        <v>17</v>
      </c>
    </row>
    <row r="239" spans="1:11" x14ac:dyDescent="0.3">
      <c r="A239" t="s">
        <v>291</v>
      </c>
      <c r="B239" s="1">
        <v>45732</v>
      </c>
      <c r="C239" t="s">
        <v>19</v>
      </c>
      <c r="D239" t="s">
        <v>20</v>
      </c>
      <c r="E239">
        <v>100</v>
      </c>
      <c r="F239">
        <v>1</v>
      </c>
      <c r="G239">
        <v>100</v>
      </c>
      <c r="H239" t="s">
        <v>29</v>
      </c>
      <c r="I239" t="s">
        <v>26</v>
      </c>
      <c r="J239" t="s">
        <v>39</v>
      </c>
      <c r="K239" t="s">
        <v>40</v>
      </c>
    </row>
    <row r="240" spans="1:11" x14ac:dyDescent="0.3">
      <c r="A240" t="s">
        <v>292</v>
      </c>
      <c r="B240" s="1">
        <v>45738</v>
      </c>
      <c r="C240" t="s">
        <v>33</v>
      </c>
      <c r="D240" t="s">
        <v>20</v>
      </c>
      <c r="E240">
        <v>150</v>
      </c>
      <c r="F240">
        <v>5</v>
      </c>
      <c r="G240">
        <v>750</v>
      </c>
      <c r="H240" t="s">
        <v>57</v>
      </c>
      <c r="I240" t="s">
        <v>38</v>
      </c>
      <c r="J240" t="s">
        <v>27</v>
      </c>
      <c r="K240" t="s">
        <v>40</v>
      </c>
    </row>
    <row r="241" spans="1:11" x14ac:dyDescent="0.3">
      <c r="A241" t="s">
        <v>293</v>
      </c>
      <c r="B241" s="1">
        <v>45697</v>
      </c>
      <c r="C241" t="s">
        <v>33</v>
      </c>
      <c r="D241" t="s">
        <v>20</v>
      </c>
      <c r="E241">
        <v>150</v>
      </c>
      <c r="F241">
        <v>1</v>
      </c>
      <c r="G241">
        <v>150</v>
      </c>
      <c r="H241" t="s">
        <v>25</v>
      </c>
      <c r="I241" t="s">
        <v>26</v>
      </c>
      <c r="J241" t="s">
        <v>58</v>
      </c>
      <c r="K241" t="s">
        <v>23</v>
      </c>
    </row>
    <row r="242" spans="1:11" x14ac:dyDescent="0.3">
      <c r="A242" t="s">
        <v>294</v>
      </c>
      <c r="B242" s="1">
        <v>45746</v>
      </c>
      <c r="C242" t="s">
        <v>42</v>
      </c>
      <c r="D242" t="s">
        <v>20</v>
      </c>
      <c r="E242">
        <v>500</v>
      </c>
      <c r="F242">
        <v>4</v>
      </c>
      <c r="G242">
        <v>2000</v>
      </c>
      <c r="H242" t="s">
        <v>29</v>
      </c>
      <c r="I242" t="s">
        <v>15</v>
      </c>
      <c r="J242" t="s">
        <v>31</v>
      </c>
      <c r="K242" t="s">
        <v>23</v>
      </c>
    </row>
    <row r="243" spans="1:11" x14ac:dyDescent="0.3">
      <c r="A243" t="s">
        <v>295</v>
      </c>
      <c r="B243" s="1">
        <v>45724</v>
      </c>
      <c r="C243" t="s">
        <v>42</v>
      </c>
      <c r="D243" t="s">
        <v>20</v>
      </c>
      <c r="E243">
        <v>500</v>
      </c>
      <c r="F243">
        <v>4</v>
      </c>
      <c r="G243">
        <v>2000</v>
      </c>
      <c r="H243" t="s">
        <v>72</v>
      </c>
      <c r="I243" t="s">
        <v>46</v>
      </c>
      <c r="J243" t="s">
        <v>58</v>
      </c>
      <c r="K243" t="s">
        <v>23</v>
      </c>
    </row>
    <row r="244" spans="1:11" x14ac:dyDescent="0.3">
      <c r="A244" t="s">
        <v>296</v>
      </c>
      <c r="B244" s="1">
        <v>45721</v>
      </c>
      <c r="C244" t="s">
        <v>12</v>
      </c>
      <c r="D244" t="s">
        <v>13</v>
      </c>
      <c r="E244">
        <v>60</v>
      </c>
      <c r="F244">
        <v>2</v>
      </c>
      <c r="G244">
        <v>120</v>
      </c>
      <c r="H244" t="s">
        <v>72</v>
      </c>
      <c r="I244" t="s">
        <v>38</v>
      </c>
      <c r="J244" t="s">
        <v>27</v>
      </c>
      <c r="K244" t="s">
        <v>40</v>
      </c>
    </row>
    <row r="245" spans="1:11" x14ac:dyDescent="0.3">
      <c r="A245" t="s">
        <v>297</v>
      </c>
      <c r="B245" s="1">
        <v>45694</v>
      </c>
      <c r="C245" t="s">
        <v>42</v>
      </c>
      <c r="D245" t="s">
        <v>20</v>
      </c>
      <c r="E245">
        <v>500</v>
      </c>
      <c r="F245">
        <v>4</v>
      </c>
      <c r="G245">
        <v>2000</v>
      </c>
      <c r="H245" t="s">
        <v>14</v>
      </c>
      <c r="I245" t="s">
        <v>38</v>
      </c>
      <c r="J245" t="s">
        <v>31</v>
      </c>
      <c r="K245" t="s">
        <v>40</v>
      </c>
    </row>
    <row r="246" spans="1:11" x14ac:dyDescent="0.3">
      <c r="A246" t="s">
        <v>298</v>
      </c>
      <c r="B246" s="1">
        <v>45692</v>
      </c>
      <c r="C246" t="s">
        <v>56</v>
      </c>
      <c r="D246" t="s">
        <v>20</v>
      </c>
      <c r="E246">
        <v>800</v>
      </c>
      <c r="F246">
        <v>1</v>
      </c>
      <c r="G246">
        <v>800</v>
      </c>
      <c r="H246" t="s">
        <v>54</v>
      </c>
      <c r="I246" t="s">
        <v>68</v>
      </c>
      <c r="J246" t="s">
        <v>31</v>
      </c>
      <c r="K246" t="s">
        <v>17</v>
      </c>
    </row>
    <row r="247" spans="1:11" x14ac:dyDescent="0.3">
      <c r="A247" t="s">
        <v>299</v>
      </c>
      <c r="B247" s="1">
        <v>45733</v>
      </c>
      <c r="C247" t="s">
        <v>35</v>
      </c>
      <c r="D247" t="s">
        <v>36</v>
      </c>
      <c r="E247">
        <v>20</v>
      </c>
      <c r="F247">
        <v>2</v>
      </c>
      <c r="G247">
        <v>40</v>
      </c>
      <c r="H247" t="s">
        <v>57</v>
      </c>
      <c r="I247" t="s">
        <v>44</v>
      </c>
      <c r="J247" t="s">
        <v>16</v>
      </c>
      <c r="K247" t="s">
        <v>17</v>
      </c>
    </row>
    <row r="248" spans="1:11" x14ac:dyDescent="0.3">
      <c r="A248" t="s">
        <v>300</v>
      </c>
      <c r="B248" s="1">
        <v>45746</v>
      </c>
      <c r="C248" t="s">
        <v>53</v>
      </c>
      <c r="D248" t="s">
        <v>36</v>
      </c>
      <c r="E248">
        <v>40</v>
      </c>
      <c r="F248">
        <v>1</v>
      </c>
      <c r="G248">
        <v>40</v>
      </c>
      <c r="H248" t="s">
        <v>43</v>
      </c>
      <c r="I248" t="s">
        <v>30</v>
      </c>
      <c r="J248" t="s">
        <v>16</v>
      </c>
      <c r="K248" t="s">
        <v>17</v>
      </c>
    </row>
    <row r="249" spans="1:11" x14ac:dyDescent="0.3">
      <c r="A249" t="s">
        <v>301</v>
      </c>
      <c r="B249" s="1">
        <v>45721</v>
      </c>
      <c r="C249" t="s">
        <v>35</v>
      </c>
      <c r="D249" t="s">
        <v>36</v>
      </c>
      <c r="E249">
        <v>20</v>
      </c>
      <c r="F249">
        <v>2</v>
      </c>
      <c r="G249">
        <v>40</v>
      </c>
      <c r="H249" t="s">
        <v>72</v>
      </c>
      <c r="I249" t="s">
        <v>26</v>
      </c>
      <c r="J249" t="s">
        <v>16</v>
      </c>
      <c r="K249" t="s">
        <v>17</v>
      </c>
    </row>
    <row r="250" spans="1:11" x14ac:dyDescent="0.3">
      <c r="A250" t="s">
        <v>302</v>
      </c>
      <c r="B250" s="1">
        <v>45724</v>
      </c>
      <c r="C250" t="s">
        <v>33</v>
      </c>
      <c r="D250" t="s">
        <v>20</v>
      </c>
      <c r="E250">
        <v>150</v>
      </c>
      <c r="F250">
        <v>3</v>
      </c>
      <c r="G250">
        <v>450</v>
      </c>
      <c r="H250" t="s">
        <v>21</v>
      </c>
      <c r="I250" t="s">
        <v>15</v>
      </c>
      <c r="J250" t="s">
        <v>16</v>
      </c>
      <c r="K250" t="s">
        <v>17</v>
      </c>
    </row>
    <row r="251" spans="1:11" x14ac:dyDescent="0.3">
      <c r="A251" t="s">
        <v>303</v>
      </c>
      <c r="B251" s="1">
        <v>45707</v>
      </c>
      <c r="C251" t="s">
        <v>42</v>
      </c>
      <c r="D251" t="s">
        <v>20</v>
      </c>
      <c r="E251">
        <v>500</v>
      </c>
      <c r="F251">
        <v>4</v>
      </c>
      <c r="G251">
        <v>2000</v>
      </c>
      <c r="H251" t="s">
        <v>21</v>
      </c>
      <c r="I251" t="s">
        <v>63</v>
      </c>
      <c r="J251" t="s">
        <v>27</v>
      </c>
      <c r="K251"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Pivot Table</vt:lpstr>
      <vt:lpstr>DashBoard</vt:lpstr>
      <vt:lpstr>Business Statement</vt:lpstr>
      <vt:lpstr>Slicers</vt:lpstr>
      <vt:lpstr>KPI's</vt:lpstr>
      <vt:lpstr>Insights &amp; Findings</vt:lpstr>
      <vt:lpstr>Cleaned Data</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praharshithasamudrala788@gmail.com</cp:lastModifiedBy>
  <dcterms:created xsi:type="dcterms:W3CDTF">2026-10-02T09:41:50Z</dcterms:created>
  <dcterms:modified xsi:type="dcterms:W3CDTF">2026-10-04T05:09:19Z</dcterms:modified>
</cp:coreProperties>
</file>